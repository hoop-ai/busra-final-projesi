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gi" sheetId="1" state="visible" r:id="rId1"/>
    <sheet xmlns:r="http://schemas.openxmlformats.org/officeDocument/2006/relationships" name="Anket_Yanitlari" sheetId="2" state="visible" r:id="rId2"/>
    <sheet xmlns:r="http://schemas.openxmlformats.org/officeDocument/2006/relationships" name="Katilimci 01" sheetId="3" state="visible" r:id="rId3"/>
    <sheet xmlns:r="http://schemas.openxmlformats.org/officeDocument/2006/relationships" name="Katilimci 02" sheetId="4" state="visible" r:id="rId4"/>
    <sheet xmlns:r="http://schemas.openxmlformats.org/officeDocument/2006/relationships" name="Katilimci 03" sheetId="5" state="visible" r:id="rId5"/>
    <sheet xmlns:r="http://schemas.openxmlformats.org/officeDocument/2006/relationships" name="Katilimci 04" sheetId="6" state="visible" r:id="rId6"/>
    <sheet xmlns:r="http://schemas.openxmlformats.org/officeDocument/2006/relationships" name="Katilimci 05" sheetId="7" state="visible" r:id="rId7"/>
    <sheet xmlns:r="http://schemas.openxmlformats.org/officeDocument/2006/relationships" name="Katilimci 06" sheetId="8" state="visible" r:id="rId8"/>
    <sheet xmlns:r="http://schemas.openxmlformats.org/officeDocument/2006/relationships" name="Katilimci 07" sheetId="9" state="visible" r:id="rId9"/>
    <sheet xmlns:r="http://schemas.openxmlformats.org/officeDocument/2006/relationships" name="Katilimci 08" sheetId="10" state="visible" r:id="rId10"/>
    <sheet xmlns:r="http://schemas.openxmlformats.org/officeDocument/2006/relationships" name="Katilimci 09" sheetId="11" state="visible" r:id="rId11"/>
    <sheet xmlns:r="http://schemas.openxmlformats.org/officeDocument/2006/relationships" name="Katilimci 10" sheetId="12" state="visible" r:id="rId12"/>
    <sheet xmlns:r="http://schemas.openxmlformats.org/officeDocument/2006/relationships" name="Katilimci 11" sheetId="13" state="visible" r:id="rId13"/>
    <sheet xmlns:r="http://schemas.openxmlformats.org/officeDocument/2006/relationships" name="Katilimci 12" sheetId="14" state="visible" r:id="rId14"/>
    <sheet xmlns:r="http://schemas.openxmlformats.org/officeDocument/2006/relationships" name="Katilimci 13" sheetId="15" state="visible" r:id="rId15"/>
    <sheet xmlns:r="http://schemas.openxmlformats.org/officeDocument/2006/relationships" name="Katilimci 14" sheetId="16" state="visible" r:id="rId16"/>
    <sheet xmlns:r="http://schemas.openxmlformats.org/officeDocument/2006/relationships" name="Katilimci 15" sheetId="17" state="visible" r:id="rId17"/>
    <sheet xmlns:r="http://schemas.openxmlformats.org/officeDocument/2006/relationships" name="Katilimci 16" sheetId="18" state="visible" r:id="rId18"/>
    <sheet xmlns:r="http://schemas.openxmlformats.org/officeDocument/2006/relationships" name="Katilimci 17" sheetId="19" state="visible" r:id="rId19"/>
    <sheet xmlns:r="http://schemas.openxmlformats.org/officeDocument/2006/relationships" name="Katilimci 18" sheetId="20" state="visible" r:id="rId20"/>
    <sheet xmlns:r="http://schemas.openxmlformats.org/officeDocument/2006/relationships" name="Katilimci 19" sheetId="21" state="visible" r:id="rId21"/>
    <sheet xmlns:r="http://schemas.openxmlformats.org/officeDocument/2006/relationships" name="Katilimci 20" sheetId="22" state="visible" r:id="rId22"/>
    <sheet xmlns:r="http://schemas.openxmlformats.org/officeDocument/2006/relationships" name="Katilimci 21" sheetId="23" state="visible" r:id="rId23"/>
    <sheet xmlns:r="http://schemas.openxmlformats.org/officeDocument/2006/relationships" name="Katilimci 22" sheetId="24" state="visible" r:id="rId24"/>
    <sheet xmlns:r="http://schemas.openxmlformats.org/officeDocument/2006/relationships" name="Katilimci 23" sheetId="25" state="visible" r:id="rId25"/>
    <sheet xmlns:r="http://schemas.openxmlformats.org/officeDocument/2006/relationships" name="Katilimci 24" sheetId="26" state="visible" r:id="rId26"/>
    <sheet xmlns:r="http://schemas.openxmlformats.org/officeDocument/2006/relationships" name="Katilimci 25" sheetId="27" state="visible" r:id="rId27"/>
    <sheet xmlns:r="http://schemas.openxmlformats.org/officeDocument/2006/relationships" name="Katilimci 26" sheetId="28" state="visible" r:id="rId28"/>
    <sheet xmlns:r="http://schemas.openxmlformats.org/officeDocument/2006/relationships" name="Katilimci 27" sheetId="29" state="visible" r:id="rId29"/>
    <sheet xmlns:r="http://schemas.openxmlformats.org/officeDocument/2006/relationships" name="Katilimci 28" sheetId="30" state="visible" r:id="rId30"/>
    <sheet xmlns:r="http://schemas.openxmlformats.org/officeDocument/2006/relationships" name="Katilimci 29" sheetId="31" state="visible" r:id="rId31"/>
    <sheet xmlns:r="http://schemas.openxmlformats.org/officeDocument/2006/relationships" name="Katilimci 30" sheetId="32" state="visible" r:id="rId32"/>
    <sheet xmlns:r="http://schemas.openxmlformats.org/officeDocument/2006/relationships" name="Katilimci 31" sheetId="33" state="visible" r:id="rId33"/>
    <sheet xmlns:r="http://schemas.openxmlformats.org/officeDocument/2006/relationships" name="Katilimci 32" sheetId="34" state="visible" r:id="rId34"/>
    <sheet xmlns:r="http://schemas.openxmlformats.org/officeDocument/2006/relationships" name="Katilimci 33" sheetId="35" state="visible" r:id="rId35"/>
    <sheet xmlns:r="http://schemas.openxmlformats.org/officeDocument/2006/relationships" name="Katilimci 34" sheetId="36" state="visible" r:id="rId36"/>
    <sheet xmlns:r="http://schemas.openxmlformats.org/officeDocument/2006/relationships" name="Katilimci 35" sheetId="37" state="visible" r:id="rId37"/>
    <sheet xmlns:r="http://schemas.openxmlformats.org/officeDocument/2006/relationships" name="AHP_Birlestirme" sheetId="38" state="visible" r:id="rId38"/>
    <sheet xmlns:r="http://schemas.openxmlformats.org/officeDocument/2006/relationships" name="Karar_Matrisi" sheetId="39" state="visible" r:id="rId39"/>
    <sheet xmlns:r="http://schemas.openxmlformats.org/officeDocument/2006/relationships" name="TOPSIS" sheetId="40" state="visible" r:id="rId40"/>
    <sheet xmlns:r="http://schemas.openxmlformats.org/officeDocument/2006/relationships" name="ELECTRE" sheetId="41" state="visible" r:id="rId41"/>
    <sheet xmlns:r="http://schemas.openxmlformats.org/officeDocument/2006/relationships" name="Siralama_Ozeti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b val="1"/>
      <color rgb="00FFFFFF"/>
    </font>
    <font>
      <b val="1"/>
      <color rgb="001F3864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164" fontId="0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PROJE ÖZETİ</t>
        </is>
      </c>
    </row>
    <row r="3">
      <c r="A3" s="2" t="inlineStr">
        <is>
          <t>Proje</t>
        </is>
      </c>
      <c r="B3" s="3" t="inlineStr">
        <is>
          <t>AHP + TOPSIS + ELECTRE ile E-Ticaret Sitelerinin Performans Değerlendirmesi</t>
        </is>
      </c>
    </row>
    <row r="4">
      <c r="A4" s="2" t="inlineStr">
        <is>
          <t>Öğrenci</t>
        </is>
      </c>
      <c r="B4" s="3" t="inlineStr">
        <is>
          <t>Büşra Nur Yıldırım</t>
        </is>
      </c>
    </row>
    <row r="5">
      <c r="A5" s="2" t="inlineStr">
        <is>
          <t>Öğrenci No</t>
        </is>
      </c>
      <c r="B5" s="3" t="inlineStr">
        <is>
          <t>230326759</t>
        </is>
      </c>
    </row>
    <row r="6">
      <c r="A6" s="2" t="inlineStr">
        <is>
          <t>Grup</t>
        </is>
      </c>
      <c r="B6" s="3" t="inlineStr">
        <is>
          <t>Kırmızı Grup (Anket sırası 1-34)</t>
        </is>
      </c>
    </row>
    <row r="7">
      <c r="A7" s="2" t="inlineStr">
        <is>
          <t>Ders</t>
        </is>
      </c>
      <c r="B7" s="3" t="inlineStr">
        <is>
          <t>YBS302 - Karar Destek Sistemleri</t>
        </is>
      </c>
    </row>
    <row r="8">
      <c r="A8" s="2" t="inlineStr">
        <is>
          <t>Öğretim Üyesi</t>
        </is>
      </c>
      <c r="B8" s="3" t="inlineStr">
        <is>
          <t>Dr. Öğr. Üyesi Neda Alipour</t>
        </is>
      </c>
    </row>
    <row r="9">
      <c r="A9" s="2" t="inlineStr">
        <is>
          <t>Üniversite</t>
        </is>
      </c>
      <c r="B9" s="3" t="inlineStr">
        <is>
          <t>İstanbul Gelişim Üniversitesi</t>
        </is>
      </c>
    </row>
    <row r="10">
      <c r="A10" s="2" t="inlineStr">
        <is>
          <t>Dönem</t>
        </is>
      </c>
      <c r="B10" s="3" t="inlineStr">
        <is>
          <t>Bahar 2025-2026</t>
        </is>
      </c>
    </row>
    <row r="11">
      <c r="A11" s="2" t="inlineStr"/>
      <c r="B11" s="3" t="inlineStr"/>
    </row>
    <row r="12">
      <c r="A12" s="2" t="inlineStr">
        <is>
          <t>Kriter Sayısı</t>
        </is>
      </c>
      <c r="B12" s="3" t="n">
        <v>5</v>
      </c>
    </row>
    <row r="13">
      <c r="A13" s="2" t="inlineStr">
        <is>
          <t>Alternatif Sayısı</t>
        </is>
      </c>
      <c r="B13" s="3" t="n">
        <v>6</v>
      </c>
    </row>
    <row r="14">
      <c r="A14" s="2" t="inlineStr">
        <is>
          <t>Toplam Katılımcı</t>
        </is>
      </c>
      <c r="B14" s="3" t="inlineStr">
        <is>
          <t>Anket_Yanıtları sayfasına bakınız</t>
        </is>
      </c>
    </row>
    <row r="15">
      <c r="A15" s="2" t="inlineStr">
        <is>
          <t>Tutarlılık Eşiği (CR)</t>
        </is>
      </c>
      <c r="B15" s="3" t="inlineStr">
        <is>
          <t>≤ 0.10</t>
        </is>
      </c>
    </row>
    <row r="16">
      <c r="A16" s="2" t="inlineStr">
        <is>
          <t>RI (n=5)</t>
        </is>
      </c>
      <c r="B16" s="3" t="n">
        <v>1.11</v>
      </c>
    </row>
    <row r="17">
      <c r="A17" s="2" t="inlineStr"/>
      <c r="B17" s="3" t="inlineStr"/>
    </row>
    <row r="18">
      <c r="A18" s="2" t="inlineStr">
        <is>
          <t>Çalışma Akışı</t>
        </is>
      </c>
      <c r="B18" s="3" t="inlineStr"/>
    </row>
    <row r="19">
      <c r="A19" s="2" t="inlineStr">
        <is>
          <t>1</t>
        </is>
      </c>
      <c r="B19" s="3" t="inlineStr">
        <is>
          <t>Her katılımcı için ikili karşılaştırma matrisi (Saaty 1-9 skalası)</t>
        </is>
      </c>
    </row>
    <row r="20">
      <c r="A20" s="2" t="inlineStr">
        <is>
          <t>2</t>
        </is>
      </c>
      <c r="B20" s="3" t="inlineStr">
        <is>
          <t>Sütun normalizasyonu → Öz Vektör (ÖZV / kriter ağırlıkları)</t>
        </is>
      </c>
    </row>
    <row r="21">
      <c r="A21" s="2" t="inlineStr">
        <is>
          <t>3</t>
        </is>
      </c>
      <c r="B21" s="3" t="inlineStr">
        <is>
          <t>λ_max (ENBÖZD) → CI = (λ_max - n)/(n-1) → CR = CI/RI</t>
        </is>
      </c>
    </row>
    <row r="22">
      <c r="A22" s="2" t="inlineStr">
        <is>
          <t>4</t>
        </is>
      </c>
      <c r="B22" s="3" t="inlineStr">
        <is>
          <t>CR ≤ 0.10 olan katılımcılar tutarlı kabul edilir (≥ 20 olmalı)</t>
        </is>
      </c>
    </row>
    <row r="23">
      <c r="A23" s="2" t="inlineStr">
        <is>
          <t>5</t>
        </is>
      </c>
      <c r="B23" s="3" t="inlineStr">
        <is>
          <t>Tutarlı katılımcıların ağırlıkları GEOMETRİK ORTALAMA ile birleştirilir</t>
        </is>
      </c>
    </row>
    <row r="24">
      <c r="A24" s="2" t="inlineStr">
        <is>
          <t>6</t>
        </is>
      </c>
      <c r="B24" s="3" t="inlineStr">
        <is>
          <t>Alternatif performans puanları ARİTMETİK ORTALAMA ile birleştirilir</t>
        </is>
      </c>
    </row>
    <row r="25">
      <c r="A25" s="2" t="inlineStr">
        <is>
          <t>7</t>
        </is>
      </c>
      <c r="B25" s="3" t="inlineStr">
        <is>
          <t>TOPSIS ve ELECTRE birleştirilmiş veri üzerinde BİRER KEZ çalıştırılır</t>
        </is>
      </c>
    </row>
    <row r="26">
      <c r="A26" s="2" t="inlineStr">
        <is>
          <t>8</t>
        </is>
      </c>
      <c r="B26" s="3" t="inlineStr">
        <is>
          <t>Tüm hücreler formül, hiçbir ara değer elle yazılmamıştır</t>
        </is>
      </c>
    </row>
    <row r="27">
      <c r="A27" s="2" t="inlineStr"/>
      <c r="B27" s="3" t="inlineStr"/>
    </row>
    <row r="28">
      <c r="A28" s="2" t="inlineStr">
        <is>
          <t>Notlar</t>
        </is>
      </c>
      <c r="B28" s="3" t="inlineStr"/>
    </row>
    <row r="29">
      <c r="A29" s="2" t="inlineStr">
        <is>
          <t>Kriterler</t>
        </is>
      </c>
      <c r="B29" s="3" t="inlineStr">
        <is>
          <t>Tüm kriterler FAYDA tipindedir (yüksek = iyi)</t>
        </is>
      </c>
    </row>
    <row r="30">
      <c r="A30" s="2" t="inlineStr">
        <is>
          <t>'Kullanmıyorum'</t>
        </is>
      </c>
      <c r="B30" s="3" t="inlineStr">
        <is>
          <t>Aritmetik ortalamada bu cevap dahil edilmez</t>
        </is>
      </c>
    </row>
    <row r="31">
      <c r="A31" s="2" t="inlineStr">
        <is>
          <t>Veri Kaynağı</t>
        </is>
      </c>
      <c r="B31" s="3" t="inlineStr">
        <is>
          <t>Google Forms canlı anket çıktısı (SURVEY.md)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2" customWidth="1" min="4" max="4"/>
    <col width="14" customWidth="1" min="5" max="5"/>
    <col width="18" customWidth="1" min="6" max="6"/>
    <col width="1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</cols>
  <sheetData>
    <row r="1">
      <c r="A1" s="4" t="inlineStr">
        <is>
          <t>participant_id</t>
        </is>
      </c>
      <c r="B1" s="4" t="inlineStr">
        <is>
          <t>cinsiyet</t>
        </is>
      </c>
      <c r="C1" s="4" t="inlineStr">
        <is>
          <t>yas</t>
        </is>
      </c>
      <c r="D1" s="4" t="inlineStr">
        <is>
          <t>egitim</t>
        </is>
      </c>
      <c r="E1" s="4" t="inlineStr">
        <is>
          <t>meslek</t>
        </is>
      </c>
      <c r="F1" s="4" t="inlineStr">
        <is>
          <t>alisveris_sikligi</t>
        </is>
      </c>
      <c r="G1" s="4" t="inlineStr">
        <is>
          <t>cihaz</t>
        </is>
      </c>
      <c r="H1" s="4" t="inlineStr">
        <is>
          <t>ahp_01</t>
        </is>
      </c>
      <c r="I1" s="4" t="inlineStr">
        <is>
          <t>ahp_02</t>
        </is>
      </c>
      <c r="J1" s="4" t="inlineStr">
        <is>
          <t>ahp_03</t>
        </is>
      </c>
      <c r="K1" s="4" t="inlineStr">
        <is>
          <t>ahp_04</t>
        </is>
      </c>
      <c r="L1" s="4" t="inlineStr">
        <is>
          <t>ahp_05</t>
        </is>
      </c>
      <c r="M1" s="4" t="inlineStr">
        <is>
          <t>ahp_06</t>
        </is>
      </c>
      <c r="N1" s="4" t="inlineStr">
        <is>
          <t>ahp_07</t>
        </is>
      </c>
      <c r="O1" s="4" t="inlineStr">
        <is>
          <t>ahp_08</t>
        </is>
      </c>
      <c r="P1" s="4" t="inlineStr">
        <is>
          <t>ahp_09</t>
        </is>
      </c>
      <c r="Q1" s="4" t="inlineStr">
        <is>
          <t>ahp_10</t>
        </is>
      </c>
      <c r="R1" s="4" t="inlineStr">
        <is>
          <t>topsis_K1_A1</t>
        </is>
      </c>
      <c r="S1" s="4" t="inlineStr">
        <is>
          <t>topsis_K1_A2</t>
        </is>
      </c>
      <c r="T1" s="4" t="inlineStr">
        <is>
          <t>topsis_K1_A3</t>
        </is>
      </c>
      <c r="U1" s="4" t="inlineStr">
        <is>
          <t>topsis_K1_A4</t>
        </is>
      </c>
      <c r="V1" s="4" t="inlineStr">
        <is>
          <t>topsis_K1_A5</t>
        </is>
      </c>
      <c r="W1" s="4" t="inlineStr">
        <is>
          <t>topsis_K1_A6</t>
        </is>
      </c>
      <c r="X1" s="4" t="inlineStr">
        <is>
          <t>topsis_K2_A1</t>
        </is>
      </c>
      <c r="Y1" s="4" t="inlineStr">
        <is>
          <t>topsis_K2_A2</t>
        </is>
      </c>
      <c r="Z1" s="4" t="inlineStr">
        <is>
          <t>topsis_K2_A3</t>
        </is>
      </c>
      <c r="AA1" s="4" t="inlineStr">
        <is>
          <t>topsis_K2_A4</t>
        </is>
      </c>
      <c r="AB1" s="4" t="inlineStr">
        <is>
          <t>topsis_K2_A5</t>
        </is>
      </c>
      <c r="AC1" s="4" t="inlineStr">
        <is>
          <t>topsis_K2_A6</t>
        </is>
      </c>
      <c r="AD1" s="4" t="inlineStr">
        <is>
          <t>topsis_K3_A1</t>
        </is>
      </c>
      <c r="AE1" s="4" t="inlineStr">
        <is>
          <t>topsis_K3_A2</t>
        </is>
      </c>
      <c r="AF1" s="4" t="inlineStr">
        <is>
          <t>topsis_K3_A3</t>
        </is>
      </c>
      <c r="AG1" s="4" t="inlineStr">
        <is>
          <t>topsis_K3_A4</t>
        </is>
      </c>
      <c r="AH1" s="4" t="inlineStr">
        <is>
          <t>topsis_K3_A5</t>
        </is>
      </c>
      <c r="AI1" s="4" t="inlineStr">
        <is>
          <t>topsis_K3_A6</t>
        </is>
      </c>
      <c r="AJ1" s="4" t="inlineStr">
        <is>
          <t>topsis_K4_A1</t>
        </is>
      </c>
      <c r="AK1" s="4" t="inlineStr">
        <is>
          <t>topsis_K4_A2</t>
        </is>
      </c>
      <c r="AL1" s="4" t="inlineStr">
        <is>
          <t>topsis_K4_A3</t>
        </is>
      </c>
      <c r="AM1" s="4" t="inlineStr">
        <is>
          <t>topsis_K4_A4</t>
        </is>
      </c>
      <c r="AN1" s="4" t="inlineStr">
        <is>
          <t>topsis_K4_A5</t>
        </is>
      </c>
      <c r="AO1" s="4" t="inlineStr">
        <is>
          <t>topsis_K4_A6</t>
        </is>
      </c>
      <c r="AP1" s="4" t="inlineStr">
        <is>
          <t>topsis_K5_A1</t>
        </is>
      </c>
      <c r="AQ1" s="4" t="inlineStr">
        <is>
          <t>topsis_K5_A2</t>
        </is>
      </c>
      <c r="AR1" s="4" t="inlineStr">
        <is>
          <t>topsis_K5_A3</t>
        </is>
      </c>
      <c r="AS1" s="4" t="inlineStr">
        <is>
          <t>topsis_K5_A4</t>
        </is>
      </c>
      <c r="AT1" s="4" t="inlineStr">
        <is>
          <t>topsis_K5_A5</t>
        </is>
      </c>
      <c r="AU1" s="4" t="inlineStr">
        <is>
          <t>topsis_K5_A6</t>
        </is>
      </c>
    </row>
    <row r="2">
      <c r="A2" t="n">
        <v>1</v>
      </c>
      <c r="B2" t="inlineStr">
        <is>
          <t>Kadın</t>
        </is>
      </c>
      <c r="C2" t="inlineStr">
        <is>
          <t>18-24</t>
        </is>
      </c>
      <c r="D2" t="inlineStr">
        <is>
          <t>Lise</t>
        </is>
      </c>
      <c r="E2" t="inlineStr">
        <is>
          <t>Kamu</t>
        </is>
      </c>
      <c r="F2" t="inlineStr">
        <is>
          <t>Ayda birkaç kez</t>
        </is>
      </c>
      <c r="G2" t="inlineStr">
        <is>
          <t>Mobil uygulama</t>
        </is>
      </c>
      <c r="H2" t="n">
        <v>1</v>
      </c>
      <c r="I2" t="n">
        <v>1</v>
      </c>
      <c r="J2" t="n">
        <v>3</v>
      </c>
      <c r="K2" t="n">
        <v>1</v>
      </c>
      <c r="L2" t="n">
        <v>1</v>
      </c>
      <c r="M2" t="n">
        <v>3</v>
      </c>
      <c r="N2" t="n">
        <v>1</v>
      </c>
      <c r="O2" t="n">
        <v>1</v>
      </c>
      <c r="P2" t="n">
        <v>0.3333333333333333</v>
      </c>
      <c r="Q2" t="n">
        <v>0.3333333333333333</v>
      </c>
      <c r="R2" t="n">
        <v>70</v>
      </c>
      <c r="S2" t="n">
        <v>70</v>
      </c>
      <c r="T2" t="inlineStr">
        <is>
          <t>Kullanmıyorum</t>
        </is>
      </c>
      <c r="U2" t="n">
        <v>40</v>
      </c>
      <c r="V2" t="n">
        <v>70</v>
      </c>
      <c r="W2" t="n">
        <v>80</v>
      </c>
      <c r="X2" t="n">
        <v>70</v>
      </c>
      <c r="Y2" t="inlineStr">
        <is>
          <t>Kullanmıyorum</t>
        </is>
      </c>
      <c r="Z2" t="n">
        <v>80</v>
      </c>
      <c r="AA2" t="n">
        <v>60</v>
      </c>
      <c r="AB2" t="n">
        <v>90</v>
      </c>
      <c r="AC2" t="n">
        <v>80</v>
      </c>
      <c r="AD2" t="n">
        <v>80</v>
      </c>
      <c r="AE2" t="n">
        <v>60</v>
      </c>
      <c r="AF2" t="n">
        <v>80</v>
      </c>
      <c r="AG2" t="inlineStr">
        <is>
          <t>Kullanmıyorum</t>
        </is>
      </c>
      <c r="AH2" t="n">
        <v>70</v>
      </c>
      <c r="AI2" t="n">
        <v>60</v>
      </c>
      <c r="AJ2" t="n">
        <v>70</v>
      </c>
      <c r="AK2" t="n">
        <v>60</v>
      </c>
      <c r="AL2" t="n">
        <v>70</v>
      </c>
      <c r="AM2" t="n">
        <v>50</v>
      </c>
      <c r="AN2" t="n">
        <v>80</v>
      </c>
      <c r="AO2" t="n">
        <v>80</v>
      </c>
      <c r="AP2" t="n">
        <v>80</v>
      </c>
      <c r="AQ2" t="n">
        <v>70</v>
      </c>
      <c r="AR2" t="n">
        <v>80</v>
      </c>
      <c r="AS2" t="n">
        <v>80</v>
      </c>
      <c r="AT2" t="n">
        <v>60</v>
      </c>
      <c r="AU2" t="n">
        <v>80</v>
      </c>
    </row>
    <row r="3">
      <c r="A3" t="n">
        <v>2</v>
      </c>
      <c r="B3" t="inlineStr">
        <is>
          <t>Erkek</t>
        </is>
      </c>
      <c r="C3" t="inlineStr">
        <is>
          <t>25-34</t>
        </is>
      </c>
      <c r="D3" t="inlineStr">
        <is>
          <t>Lisans</t>
        </is>
      </c>
      <c r="E3" t="inlineStr">
        <is>
          <t>Kamu</t>
        </is>
      </c>
      <c r="F3" t="inlineStr">
        <is>
          <t>Haftada birkaç kez</t>
        </is>
      </c>
      <c r="G3" t="inlineStr">
        <is>
          <t>Tablet</t>
        </is>
      </c>
      <c r="H3" t="n">
        <v>1</v>
      </c>
      <c r="I3" t="n">
        <v>0.3333333333333333</v>
      </c>
      <c r="J3" t="n">
        <v>1</v>
      </c>
      <c r="K3" t="n">
        <v>0.3333333333333333</v>
      </c>
      <c r="L3" t="n">
        <v>0.3333333333333333</v>
      </c>
      <c r="M3" t="n">
        <v>1</v>
      </c>
      <c r="N3" t="n">
        <v>0.3333333333333333</v>
      </c>
      <c r="O3" t="n">
        <v>3</v>
      </c>
      <c r="P3" t="n">
        <v>1</v>
      </c>
      <c r="Q3" t="n">
        <v>0.3333333333333333</v>
      </c>
      <c r="R3" t="n">
        <v>70</v>
      </c>
      <c r="S3" t="n">
        <v>60</v>
      </c>
      <c r="T3" t="n">
        <v>90</v>
      </c>
      <c r="U3" t="inlineStr">
        <is>
          <t>Kullanmıyorum</t>
        </is>
      </c>
      <c r="V3" t="n">
        <v>90</v>
      </c>
      <c r="W3" t="n">
        <v>90</v>
      </c>
      <c r="X3" t="n">
        <v>80</v>
      </c>
      <c r="Y3" t="n">
        <v>60</v>
      </c>
      <c r="Z3" t="n">
        <v>80</v>
      </c>
      <c r="AA3" t="n">
        <v>40</v>
      </c>
      <c r="AB3" t="n">
        <v>70</v>
      </c>
      <c r="AC3" t="n">
        <v>70</v>
      </c>
      <c r="AD3" t="inlineStr">
        <is>
          <t>Kullanmıyorum</t>
        </is>
      </c>
      <c r="AE3" t="n">
        <v>50</v>
      </c>
      <c r="AF3" t="n">
        <v>90</v>
      </c>
      <c r="AG3" t="n">
        <v>50</v>
      </c>
      <c r="AH3" t="n">
        <v>70</v>
      </c>
      <c r="AI3" t="n">
        <v>90</v>
      </c>
      <c r="AJ3" t="n">
        <v>80</v>
      </c>
      <c r="AK3" t="n">
        <v>60</v>
      </c>
      <c r="AL3" t="n">
        <v>70</v>
      </c>
      <c r="AM3" t="n">
        <v>60</v>
      </c>
      <c r="AN3" t="n">
        <v>80</v>
      </c>
      <c r="AO3" t="n">
        <v>80</v>
      </c>
      <c r="AP3" t="n">
        <v>70</v>
      </c>
      <c r="AQ3" t="n">
        <v>60</v>
      </c>
      <c r="AR3" t="n">
        <v>80</v>
      </c>
      <c r="AS3" t="n">
        <v>60</v>
      </c>
      <c r="AT3" t="n">
        <v>50</v>
      </c>
      <c r="AU3" t="n">
        <v>80</v>
      </c>
    </row>
    <row r="4">
      <c r="A4" t="n">
        <v>3</v>
      </c>
      <c r="B4" t="inlineStr">
        <is>
          <t>Erkek</t>
        </is>
      </c>
      <c r="C4" t="inlineStr">
        <is>
          <t>18-24</t>
        </is>
      </c>
      <c r="D4" t="inlineStr">
        <is>
          <t>Lisans</t>
        </is>
      </c>
      <c r="E4" t="inlineStr">
        <is>
          <t>Öğrenci</t>
        </is>
      </c>
      <c r="F4" t="inlineStr">
        <is>
          <t>Haftada bir</t>
        </is>
      </c>
      <c r="G4" t="inlineStr">
        <is>
          <t>Mobil uygulama</t>
        </is>
      </c>
      <c r="H4" t="n">
        <v>3</v>
      </c>
      <c r="I4" t="n">
        <v>1</v>
      </c>
      <c r="J4" t="n">
        <v>1</v>
      </c>
      <c r="K4" t="n">
        <v>0.3333333333333333</v>
      </c>
      <c r="L4" t="n">
        <v>0.3333333333333333</v>
      </c>
      <c r="M4" t="n">
        <v>0.3333333333333333</v>
      </c>
      <c r="N4" t="n">
        <v>0.3333333333333333</v>
      </c>
      <c r="O4" t="n">
        <v>1</v>
      </c>
      <c r="P4" t="n">
        <v>5</v>
      </c>
      <c r="Q4" t="n">
        <v>5</v>
      </c>
      <c r="R4" t="n">
        <v>80</v>
      </c>
      <c r="S4" t="n">
        <v>60</v>
      </c>
      <c r="T4" t="n">
        <v>80</v>
      </c>
      <c r="U4" t="n">
        <v>50</v>
      </c>
      <c r="V4" t="inlineStr">
        <is>
          <t>Kullanmıyorum</t>
        </is>
      </c>
      <c r="W4" t="n">
        <v>80</v>
      </c>
      <c r="X4" t="n">
        <v>80</v>
      </c>
      <c r="Y4" t="n">
        <v>70</v>
      </c>
      <c r="Z4" t="n">
        <v>70</v>
      </c>
      <c r="AA4" t="n">
        <v>30</v>
      </c>
      <c r="AB4" t="n">
        <v>80</v>
      </c>
      <c r="AC4" t="n">
        <v>100</v>
      </c>
      <c r="AD4" t="n">
        <v>70</v>
      </c>
      <c r="AE4" t="n">
        <v>60</v>
      </c>
      <c r="AF4" t="n">
        <v>80</v>
      </c>
      <c r="AG4" t="n">
        <v>50</v>
      </c>
      <c r="AH4" t="n">
        <v>70</v>
      </c>
      <c r="AI4" t="n">
        <v>90</v>
      </c>
      <c r="AJ4" t="n">
        <v>70</v>
      </c>
      <c r="AK4" t="n">
        <v>60</v>
      </c>
      <c r="AL4" t="n">
        <v>70</v>
      </c>
      <c r="AM4" t="n">
        <v>50</v>
      </c>
      <c r="AN4" t="n">
        <v>80</v>
      </c>
      <c r="AO4" t="n">
        <v>100</v>
      </c>
      <c r="AP4" t="n">
        <v>70</v>
      </c>
      <c r="AQ4" t="n">
        <v>60</v>
      </c>
      <c r="AR4" t="n">
        <v>80</v>
      </c>
      <c r="AS4" t="n">
        <v>60</v>
      </c>
      <c r="AT4" t="n">
        <v>60</v>
      </c>
      <c r="AU4" t="n">
        <v>80</v>
      </c>
    </row>
    <row r="5">
      <c r="A5" t="n">
        <v>4</v>
      </c>
      <c r="B5" t="inlineStr">
        <is>
          <t>Kadın</t>
        </is>
      </c>
      <c r="C5" t="inlineStr">
        <is>
          <t>45-54</t>
        </is>
      </c>
      <c r="D5" t="inlineStr">
        <is>
          <t>Lisans</t>
        </is>
      </c>
      <c r="E5" t="inlineStr">
        <is>
          <t>Serbest Meslek</t>
        </is>
      </c>
      <c r="F5" t="inlineStr">
        <is>
          <t>Haftada bir</t>
        </is>
      </c>
      <c r="G5" t="inlineStr">
        <is>
          <t>Mobil tarayıcı</t>
        </is>
      </c>
      <c r="H5" t="n">
        <v>5</v>
      </c>
      <c r="I5" t="n">
        <v>3</v>
      </c>
      <c r="J5" t="n">
        <v>3</v>
      </c>
      <c r="K5" t="n">
        <v>1</v>
      </c>
      <c r="L5" t="n">
        <v>0.3333333333333333</v>
      </c>
      <c r="M5" t="n">
        <v>1</v>
      </c>
      <c r="N5" t="n">
        <v>0.3333333333333333</v>
      </c>
      <c r="O5" t="n">
        <v>0.2</v>
      </c>
      <c r="P5" t="n">
        <v>5</v>
      </c>
      <c r="Q5" t="n">
        <v>3</v>
      </c>
      <c r="R5" t="n">
        <v>70</v>
      </c>
      <c r="S5" t="n">
        <v>50</v>
      </c>
      <c r="T5" t="n">
        <v>80</v>
      </c>
      <c r="U5" t="n">
        <v>60</v>
      </c>
      <c r="V5" t="n">
        <v>60</v>
      </c>
      <c r="W5" t="n">
        <v>100</v>
      </c>
      <c r="X5" t="n">
        <v>100</v>
      </c>
      <c r="Y5" t="n">
        <v>60</v>
      </c>
      <c r="Z5" t="n">
        <v>80</v>
      </c>
      <c r="AA5" t="n">
        <v>50</v>
      </c>
      <c r="AB5" t="n">
        <v>80</v>
      </c>
      <c r="AC5" t="n">
        <v>90</v>
      </c>
      <c r="AD5" t="inlineStr">
        <is>
          <t>Kullanmıyorum</t>
        </is>
      </c>
      <c r="AE5" t="n">
        <v>60</v>
      </c>
      <c r="AF5" t="n">
        <v>80</v>
      </c>
      <c r="AG5" t="n">
        <v>50</v>
      </c>
      <c r="AH5" t="n">
        <v>80</v>
      </c>
      <c r="AI5" t="n">
        <v>80</v>
      </c>
      <c r="AJ5" t="n">
        <v>80</v>
      </c>
      <c r="AK5" t="n">
        <v>70</v>
      </c>
      <c r="AL5" t="n">
        <v>90</v>
      </c>
      <c r="AM5" t="n">
        <v>50</v>
      </c>
      <c r="AN5" t="n">
        <v>70</v>
      </c>
      <c r="AO5" t="n">
        <v>80</v>
      </c>
      <c r="AP5" t="n">
        <v>80</v>
      </c>
      <c r="AQ5" t="n">
        <v>60</v>
      </c>
      <c r="AR5" t="n">
        <v>80</v>
      </c>
      <c r="AS5" t="n">
        <v>70</v>
      </c>
      <c r="AT5" t="n">
        <v>50</v>
      </c>
      <c r="AU5" t="n">
        <v>80</v>
      </c>
    </row>
    <row r="6">
      <c r="A6" t="n">
        <v>5</v>
      </c>
      <c r="B6" t="inlineStr">
        <is>
          <t>Erkek</t>
        </is>
      </c>
      <c r="C6" t="inlineStr">
        <is>
          <t>18-24</t>
        </is>
      </c>
      <c r="D6" t="inlineStr">
        <is>
          <t>Lisans</t>
        </is>
      </c>
      <c r="E6" t="inlineStr">
        <is>
          <t>Özel Sektör</t>
        </is>
      </c>
      <c r="F6" t="inlineStr">
        <is>
          <t>Haftada bir</t>
        </is>
      </c>
      <c r="G6" t="inlineStr">
        <is>
          <t>Mobil uygulama</t>
        </is>
      </c>
      <c r="H6" t="n">
        <v>1</v>
      </c>
      <c r="I6" t="n">
        <v>0.3333333333333333</v>
      </c>
      <c r="J6" t="n">
        <v>1</v>
      </c>
      <c r="K6" t="n">
        <v>0.3333333333333333</v>
      </c>
      <c r="L6" t="n">
        <v>3</v>
      </c>
      <c r="M6" t="n">
        <v>1</v>
      </c>
      <c r="N6" t="n">
        <v>0.3333333333333333</v>
      </c>
      <c r="O6" t="n">
        <v>1</v>
      </c>
      <c r="P6" t="n">
        <v>0.3333333333333333</v>
      </c>
      <c r="Q6" t="n">
        <v>0.3333333333333333</v>
      </c>
      <c r="R6" t="n">
        <v>80</v>
      </c>
      <c r="S6" t="n">
        <v>50</v>
      </c>
      <c r="T6" t="n">
        <v>70</v>
      </c>
      <c r="U6" t="n">
        <v>60</v>
      </c>
      <c r="V6" t="n">
        <v>70</v>
      </c>
      <c r="W6" t="n">
        <v>90</v>
      </c>
      <c r="X6" t="n">
        <v>90</v>
      </c>
      <c r="Y6" t="n">
        <v>50</v>
      </c>
      <c r="Z6" t="n">
        <v>80</v>
      </c>
      <c r="AA6" t="n">
        <v>60</v>
      </c>
      <c r="AB6" t="n">
        <v>80</v>
      </c>
      <c r="AC6" t="n">
        <v>90</v>
      </c>
      <c r="AD6" t="n">
        <v>70</v>
      </c>
      <c r="AE6" t="n">
        <v>70</v>
      </c>
      <c r="AF6" t="n">
        <v>60</v>
      </c>
      <c r="AG6" t="n">
        <v>50</v>
      </c>
      <c r="AH6" t="n">
        <v>60</v>
      </c>
      <c r="AI6" t="n">
        <v>90</v>
      </c>
      <c r="AJ6" t="n">
        <v>90</v>
      </c>
      <c r="AK6" t="n">
        <v>60</v>
      </c>
      <c r="AL6" t="n">
        <v>70</v>
      </c>
      <c r="AM6" t="n">
        <v>40</v>
      </c>
      <c r="AN6" t="n">
        <v>60</v>
      </c>
      <c r="AO6" t="n">
        <v>100</v>
      </c>
      <c r="AP6" t="n">
        <v>80</v>
      </c>
      <c r="AQ6" t="n">
        <v>50</v>
      </c>
      <c r="AR6" t="n">
        <v>70</v>
      </c>
      <c r="AS6" t="n">
        <v>50</v>
      </c>
      <c r="AT6" t="n">
        <v>60</v>
      </c>
      <c r="AU6" t="n">
        <v>80</v>
      </c>
    </row>
    <row r="7">
      <c r="A7" t="n">
        <v>6</v>
      </c>
      <c r="B7" t="inlineStr">
        <is>
          <t>Kadın</t>
        </is>
      </c>
      <c r="C7" t="inlineStr">
        <is>
          <t>18-24</t>
        </is>
      </c>
      <c r="D7" t="inlineStr">
        <is>
          <t>Ön Lisans</t>
        </is>
      </c>
      <c r="E7" t="inlineStr">
        <is>
          <t>Serbest Meslek</t>
        </is>
      </c>
      <c r="F7" t="inlineStr">
        <is>
          <t>Ayda bir</t>
        </is>
      </c>
      <c r="G7" t="inlineStr">
        <is>
          <t>Mobil tarayıcı</t>
        </is>
      </c>
      <c r="H7" t="n">
        <v>0.3333333333333333</v>
      </c>
      <c r="I7" t="n">
        <v>5</v>
      </c>
      <c r="J7" t="n">
        <v>0.2</v>
      </c>
      <c r="K7" t="n">
        <v>0.3333333333333333</v>
      </c>
      <c r="L7" t="n">
        <v>0.3333333333333333</v>
      </c>
      <c r="M7" t="n">
        <v>1</v>
      </c>
      <c r="N7" t="n">
        <v>0.3333333333333333</v>
      </c>
      <c r="O7" t="n">
        <v>1</v>
      </c>
      <c r="P7" t="n">
        <v>1</v>
      </c>
      <c r="Q7" t="n">
        <v>3</v>
      </c>
      <c r="R7" t="n">
        <v>80</v>
      </c>
      <c r="S7" t="n">
        <v>60</v>
      </c>
      <c r="T7" t="inlineStr">
        <is>
          <t>Kullanmıyorum</t>
        </is>
      </c>
      <c r="U7" t="n">
        <v>50</v>
      </c>
      <c r="V7" t="n">
        <v>70</v>
      </c>
      <c r="W7" t="n">
        <v>90</v>
      </c>
      <c r="X7" t="n">
        <v>80</v>
      </c>
      <c r="Y7" t="n">
        <v>70</v>
      </c>
      <c r="Z7" t="n">
        <v>100</v>
      </c>
      <c r="AA7" t="n">
        <v>60</v>
      </c>
      <c r="AB7" t="n">
        <v>90</v>
      </c>
      <c r="AC7" t="n">
        <v>90</v>
      </c>
      <c r="AD7" t="n">
        <v>70</v>
      </c>
      <c r="AE7" t="n">
        <v>60</v>
      </c>
      <c r="AF7" t="n">
        <v>70</v>
      </c>
      <c r="AG7" t="n">
        <v>50</v>
      </c>
      <c r="AH7" t="n">
        <v>80</v>
      </c>
      <c r="AI7" t="n">
        <v>70</v>
      </c>
      <c r="AJ7" t="n">
        <v>80</v>
      </c>
      <c r="AK7" t="inlineStr">
        <is>
          <t>Kullanmıyorum</t>
        </is>
      </c>
      <c r="AL7" t="inlineStr">
        <is>
          <t>Kullanmıyorum</t>
        </is>
      </c>
      <c r="AM7" t="n">
        <v>70</v>
      </c>
      <c r="AN7" t="n">
        <v>70</v>
      </c>
      <c r="AO7" t="n">
        <v>80</v>
      </c>
      <c r="AP7" t="n">
        <v>90</v>
      </c>
      <c r="AQ7" t="n">
        <v>60</v>
      </c>
      <c r="AR7" t="n">
        <v>70</v>
      </c>
      <c r="AS7" t="n">
        <v>50</v>
      </c>
      <c r="AT7" t="n">
        <v>60</v>
      </c>
      <c r="AU7" t="n">
        <v>90</v>
      </c>
    </row>
    <row r="8">
      <c r="A8" t="n">
        <v>7</v>
      </c>
      <c r="B8" t="inlineStr">
        <is>
          <t>Erkek</t>
        </is>
      </c>
      <c r="C8" t="inlineStr">
        <is>
          <t>25-34</t>
        </is>
      </c>
      <c r="D8" t="inlineStr">
        <is>
          <t>Ön Lisans</t>
        </is>
      </c>
      <c r="E8" t="inlineStr">
        <is>
          <t>Kamu</t>
        </is>
      </c>
      <c r="F8" t="inlineStr">
        <is>
          <t>Haftada birkaç kez</t>
        </is>
      </c>
      <c r="G8" t="inlineStr">
        <is>
          <t>Mobil uygulama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0.3333333333333333</v>
      </c>
      <c r="O8" t="n">
        <v>1</v>
      </c>
      <c r="P8" t="n">
        <v>0.3333333333333333</v>
      </c>
      <c r="Q8" t="n">
        <v>0.3333333333333333</v>
      </c>
      <c r="R8" t="n">
        <v>80</v>
      </c>
      <c r="S8" t="n">
        <v>70</v>
      </c>
      <c r="T8" t="n">
        <v>70</v>
      </c>
      <c r="U8" t="n">
        <v>60</v>
      </c>
      <c r="V8" t="n">
        <v>70</v>
      </c>
      <c r="W8" t="n">
        <v>90</v>
      </c>
      <c r="X8" t="n">
        <v>80</v>
      </c>
      <c r="Y8" t="n">
        <v>70</v>
      </c>
      <c r="Z8" t="n">
        <v>70</v>
      </c>
      <c r="AA8" t="n">
        <v>60</v>
      </c>
      <c r="AB8" t="n">
        <v>80</v>
      </c>
      <c r="AC8" t="n">
        <v>80</v>
      </c>
      <c r="AD8" t="n">
        <v>90</v>
      </c>
      <c r="AE8" t="n">
        <v>60</v>
      </c>
      <c r="AF8" t="n">
        <v>80</v>
      </c>
      <c r="AG8" t="n">
        <v>30</v>
      </c>
      <c r="AH8" t="n">
        <v>60</v>
      </c>
      <c r="AI8" t="n">
        <v>80</v>
      </c>
      <c r="AJ8" t="n">
        <v>90</v>
      </c>
      <c r="AK8" t="n">
        <v>50</v>
      </c>
      <c r="AL8" t="n">
        <v>80</v>
      </c>
      <c r="AM8" t="n">
        <v>50</v>
      </c>
      <c r="AN8" t="n">
        <v>80</v>
      </c>
      <c r="AO8" t="n">
        <v>80</v>
      </c>
      <c r="AP8" t="n">
        <v>80</v>
      </c>
      <c r="AQ8" t="n">
        <v>70</v>
      </c>
      <c r="AR8" t="n">
        <v>80</v>
      </c>
      <c r="AS8" t="n">
        <v>50</v>
      </c>
      <c r="AT8" t="n">
        <v>40</v>
      </c>
      <c r="AU8" t="n">
        <v>80</v>
      </c>
    </row>
    <row r="9">
      <c r="A9" t="n">
        <v>8</v>
      </c>
      <c r="B9" t="inlineStr">
        <is>
          <t>Kadın</t>
        </is>
      </c>
      <c r="C9" t="inlineStr">
        <is>
          <t>18-24</t>
        </is>
      </c>
      <c r="D9" t="inlineStr">
        <is>
          <t>Lise</t>
        </is>
      </c>
      <c r="E9" t="inlineStr">
        <is>
          <t>Öğrenci</t>
        </is>
      </c>
      <c r="F9" t="inlineStr">
        <is>
          <t>Haftada birkaç kez</t>
        </is>
      </c>
      <c r="G9" t="inlineStr">
        <is>
          <t>Tablet</t>
        </is>
      </c>
      <c r="H9" t="n">
        <v>0.2</v>
      </c>
      <c r="I9" t="n">
        <v>1</v>
      </c>
      <c r="J9" t="n">
        <v>1</v>
      </c>
      <c r="K9" t="n">
        <v>0.3333333333333333</v>
      </c>
      <c r="L9" t="n">
        <v>1</v>
      </c>
      <c r="M9" t="n">
        <v>3</v>
      </c>
      <c r="N9" t="n">
        <v>3</v>
      </c>
      <c r="O9" t="n">
        <v>1</v>
      </c>
      <c r="P9" t="n">
        <v>3</v>
      </c>
      <c r="Q9" t="n">
        <v>5</v>
      </c>
      <c r="R9" t="n">
        <v>70</v>
      </c>
      <c r="S9" t="n">
        <v>50</v>
      </c>
      <c r="T9" t="n">
        <v>70</v>
      </c>
      <c r="U9" t="n">
        <v>50</v>
      </c>
      <c r="V9" t="n">
        <v>70</v>
      </c>
      <c r="W9" t="n">
        <v>90</v>
      </c>
      <c r="X9" t="n">
        <v>90</v>
      </c>
      <c r="Y9" t="inlineStr">
        <is>
          <t>Kullanmıyorum</t>
        </is>
      </c>
      <c r="Z9" t="n">
        <v>80</v>
      </c>
      <c r="AA9" t="n">
        <v>60</v>
      </c>
      <c r="AB9" t="n">
        <v>90</v>
      </c>
      <c r="AC9" t="n">
        <v>90</v>
      </c>
      <c r="AD9" t="n">
        <v>70</v>
      </c>
      <c r="AE9" t="n">
        <v>60</v>
      </c>
      <c r="AF9" t="n">
        <v>90</v>
      </c>
      <c r="AG9" t="n">
        <v>60</v>
      </c>
      <c r="AH9" t="n">
        <v>70</v>
      </c>
      <c r="AI9" t="n">
        <v>70</v>
      </c>
      <c r="AJ9" t="n">
        <v>90</v>
      </c>
      <c r="AK9" t="inlineStr">
        <is>
          <t>Kullanmıyorum</t>
        </is>
      </c>
      <c r="AL9" t="n">
        <v>80</v>
      </c>
      <c r="AM9" t="n">
        <v>40</v>
      </c>
      <c r="AN9" t="n">
        <v>70</v>
      </c>
      <c r="AO9" t="n">
        <v>90</v>
      </c>
      <c r="AP9" t="n">
        <v>80</v>
      </c>
      <c r="AQ9" t="n">
        <v>60</v>
      </c>
      <c r="AR9" t="n">
        <v>80</v>
      </c>
      <c r="AS9" t="n">
        <v>50</v>
      </c>
      <c r="AT9" t="n">
        <v>50</v>
      </c>
      <c r="AU9" t="n">
        <v>80</v>
      </c>
    </row>
    <row r="10">
      <c r="A10" t="n">
        <v>9</v>
      </c>
      <c r="B10" t="inlineStr">
        <is>
          <t>Erkek</t>
        </is>
      </c>
      <c r="C10" t="inlineStr">
        <is>
          <t>18-24</t>
        </is>
      </c>
      <c r="D10" t="inlineStr">
        <is>
          <t>Ön Lisans</t>
        </is>
      </c>
      <c r="E10" t="inlineStr">
        <is>
          <t>Öğrenci</t>
        </is>
      </c>
      <c r="F10" t="inlineStr">
        <is>
          <t>Ayda birkaç kez</t>
        </is>
      </c>
      <c r="G10" t="inlineStr">
        <is>
          <t>Mobil uygulama</t>
        </is>
      </c>
      <c r="H10" t="n">
        <v>1</v>
      </c>
      <c r="I10" t="n">
        <v>1</v>
      </c>
      <c r="J10" t="n">
        <v>3</v>
      </c>
      <c r="K10" t="n">
        <v>1</v>
      </c>
      <c r="L10" t="n">
        <v>1</v>
      </c>
      <c r="M10" t="n">
        <v>3</v>
      </c>
      <c r="N10" t="n">
        <v>1</v>
      </c>
      <c r="O10" t="n">
        <v>3</v>
      </c>
      <c r="P10" t="n">
        <v>1</v>
      </c>
      <c r="Q10" t="n">
        <v>0.3333333333333333</v>
      </c>
      <c r="R10" t="n">
        <v>80</v>
      </c>
      <c r="S10" t="n">
        <v>60</v>
      </c>
      <c r="T10" t="n">
        <v>90</v>
      </c>
      <c r="U10" t="n">
        <v>60</v>
      </c>
      <c r="V10" t="n">
        <v>60</v>
      </c>
      <c r="W10" t="n">
        <v>90</v>
      </c>
      <c r="X10" t="n">
        <v>70</v>
      </c>
      <c r="Y10" t="n">
        <v>60</v>
      </c>
      <c r="Z10" t="n">
        <v>90</v>
      </c>
      <c r="AA10" t="n">
        <v>50</v>
      </c>
      <c r="AB10" t="n">
        <v>70</v>
      </c>
      <c r="AC10" t="n">
        <v>90</v>
      </c>
      <c r="AD10" t="n">
        <v>70</v>
      </c>
      <c r="AE10" t="n">
        <v>60</v>
      </c>
      <c r="AF10" t="n">
        <v>90</v>
      </c>
      <c r="AG10" t="n">
        <v>50</v>
      </c>
      <c r="AH10" t="n">
        <v>80</v>
      </c>
      <c r="AI10" t="n">
        <v>80</v>
      </c>
      <c r="AJ10" t="n">
        <v>80</v>
      </c>
      <c r="AK10" t="n">
        <v>60</v>
      </c>
      <c r="AL10" t="n">
        <v>60</v>
      </c>
      <c r="AM10" t="n">
        <v>30</v>
      </c>
      <c r="AN10" t="n">
        <v>70</v>
      </c>
      <c r="AO10" t="n">
        <v>90</v>
      </c>
      <c r="AP10" t="n">
        <v>80</v>
      </c>
      <c r="AQ10" t="n">
        <v>60</v>
      </c>
      <c r="AR10" t="n">
        <v>70</v>
      </c>
      <c r="AS10" t="n">
        <v>70</v>
      </c>
      <c r="AT10" t="n">
        <v>60</v>
      </c>
      <c r="AU10" t="n">
        <v>50</v>
      </c>
    </row>
    <row r="11">
      <c r="A11" t="n">
        <v>10</v>
      </c>
      <c r="B11" t="inlineStr">
        <is>
          <t>Erkek</t>
        </is>
      </c>
      <c r="C11" t="inlineStr">
        <is>
          <t>25-34</t>
        </is>
      </c>
      <c r="D11" t="inlineStr">
        <is>
          <t>Yüksek Lisans</t>
        </is>
      </c>
      <c r="E11" t="inlineStr">
        <is>
          <t>Öğrenci</t>
        </is>
      </c>
      <c r="F11" t="inlineStr">
        <is>
          <t>Daha az</t>
        </is>
      </c>
      <c r="G11" t="inlineStr">
        <is>
          <t>Mobil tarayıcı</t>
        </is>
      </c>
      <c r="H11" t="n">
        <v>1</v>
      </c>
      <c r="I11" t="n">
        <v>0.3333333333333333</v>
      </c>
      <c r="J11" t="n">
        <v>5</v>
      </c>
      <c r="K11" t="n">
        <v>1</v>
      </c>
      <c r="L11" t="n">
        <v>0.3333333333333333</v>
      </c>
      <c r="M11" t="n">
        <v>3</v>
      </c>
      <c r="N11" t="n">
        <v>1</v>
      </c>
      <c r="O11" t="n">
        <v>5</v>
      </c>
      <c r="P11" t="n">
        <v>1</v>
      </c>
      <c r="Q11" t="n">
        <v>0.2</v>
      </c>
      <c r="R11" t="n">
        <v>80</v>
      </c>
      <c r="S11" t="n">
        <v>60</v>
      </c>
      <c r="T11" t="n">
        <v>60</v>
      </c>
      <c r="U11" t="n">
        <v>50</v>
      </c>
      <c r="V11" t="n">
        <v>70</v>
      </c>
      <c r="W11" t="n">
        <v>100</v>
      </c>
      <c r="X11" t="n">
        <v>80</v>
      </c>
      <c r="Y11" t="n">
        <v>60</v>
      </c>
      <c r="Z11" t="n">
        <v>80</v>
      </c>
      <c r="AA11" t="n">
        <v>60</v>
      </c>
      <c r="AB11" t="n">
        <v>80</v>
      </c>
      <c r="AC11" t="n">
        <v>90</v>
      </c>
      <c r="AD11" t="n">
        <v>80</v>
      </c>
      <c r="AE11" t="n">
        <v>50</v>
      </c>
      <c r="AF11" t="n">
        <v>90</v>
      </c>
      <c r="AG11" t="n">
        <v>50</v>
      </c>
      <c r="AH11" t="n">
        <v>70</v>
      </c>
      <c r="AI11" t="n">
        <v>70</v>
      </c>
      <c r="AJ11" t="n">
        <v>90</v>
      </c>
      <c r="AK11" t="n">
        <v>60</v>
      </c>
      <c r="AL11" t="n">
        <v>70</v>
      </c>
      <c r="AM11" t="n">
        <v>40</v>
      </c>
      <c r="AN11" t="n">
        <v>70</v>
      </c>
      <c r="AO11" t="n">
        <v>90</v>
      </c>
      <c r="AP11" t="inlineStr">
        <is>
          <t>Kullanmıyorum</t>
        </is>
      </c>
      <c r="AQ11" t="n">
        <v>60</v>
      </c>
      <c r="AR11" t="n">
        <v>70</v>
      </c>
      <c r="AS11" t="n">
        <v>60</v>
      </c>
      <c r="AT11" t="n">
        <v>50</v>
      </c>
      <c r="AU11" t="n">
        <v>80</v>
      </c>
    </row>
    <row r="12">
      <c r="A12" t="n">
        <v>11</v>
      </c>
      <c r="B12" t="inlineStr">
        <is>
          <t>Erkek</t>
        </is>
      </c>
      <c r="C12" t="inlineStr">
        <is>
          <t>18-24</t>
        </is>
      </c>
      <c r="D12" t="inlineStr">
        <is>
          <t>Lisans</t>
        </is>
      </c>
      <c r="E12" t="inlineStr">
        <is>
          <t>Öğrenci</t>
        </is>
      </c>
      <c r="F12" t="inlineStr">
        <is>
          <t>Ayda birkaç kez</t>
        </is>
      </c>
      <c r="G12" t="inlineStr">
        <is>
          <t>Mobil uygulama</t>
        </is>
      </c>
      <c r="H12" t="n">
        <v>0.3333333333333333</v>
      </c>
      <c r="I12" t="n">
        <v>0.3333333333333333</v>
      </c>
      <c r="J12" t="n">
        <v>1</v>
      </c>
      <c r="K12" t="n">
        <v>0.3333333333333333</v>
      </c>
      <c r="L12" t="n">
        <v>1</v>
      </c>
      <c r="M12" t="n">
        <v>3</v>
      </c>
      <c r="N12" t="n">
        <v>1</v>
      </c>
      <c r="O12" t="n">
        <v>0.3333333333333333</v>
      </c>
      <c r="P12" t="n">
        <v>1</v>
      </c>
      <c r="Q12" t="n">
        <v>0.3333333333333333</v>
      </c>
      <c r="R12" t="n">
        <v>80</v>
      </c>
      <c r="S12" t="n">
        <v>50</v>
      </c>
      <c r="T12" t="n">
        <v>70</v>
      </c>
      <c r="U12" t="n">
        <v>60</v>
      </c>
      <c r="V12" t="n">
        <v>70</v>
      </c>
      <c r="W12" t="n">
        <v>100</v>
      </c>
      <c r="X12" t="inlineStr">
        <is>
          <t>Kullanmıyorum</t>
        </is>
      </c>
      <c r="Y12" t="n">
        <v>50</v>
      </c>
      <c r="Z12" t="n">
        <v>70</v>
      </c>
      <c r="AA12" t="n">
        <v>40</v>
      </c>
      <c r="AB12" t="n">
        <v>70</v>
      </c>
      <c r="AC12" t="n">
        <v>80</v>
      </c>
      <c r="AD12" t="n">
        <v>70</v>
      </c>
      <c r="AE12" t="n">
        <v>60</v>
      </c>
      <c r="AF12" t="n">
        <v>70</v>
      </c>
      <c r="AG12" t="n">
        <v>50</v>
      </c>
      <c r="AH12" t="n">
        <v>60</v>
      </c>
      <c r="AI12" t="n">
        <v>80</v>
      </c>
      <c r="AJ12" t="n">
        <v>90</v>
      </c>
      <c r="AK12" t="n">
        <v>70</v>
      </c>
      <c r="AL12" t="inlineStr">
        <is>
          <t>Kullanmıyorum</t>
        </is>
      </c>
      <c r="AM12" t="n">
        <v>50</v>
      </c>
      <c r="AN12" t="n">
        <v>70</v>
      </c>
      <c r="AO12" t="n">
        <v>80</v>
      </c>
      <c r="AP12" t="n">
        <v>90</v>
      </c>
      <c r="AQ12" t="n">
        <v>60</v>
      </c>
      <c r="AR12" t="n">
        <v>80</v>
      </c>
      <c r="AS12" t="inlineStr">
        <is>
          <t>Kullanmıyorum</t>
        </is>
      </c>
      <c r="AT12" t="n">
        <v>60</v>
      </c>
      <c r="AU12" t="n">
        <v>60</v>
      </c>
    </row>
    <row r="13">
      <c r="A13" t="n">
        <v>12</v>
      </c>
      <c r="B13" t="inlineStr">
        <is>
          <t>Kadın</t>
        </is>
      </c>
      <c r="C13" t="inlineStr">
        <is>
          <t>35-44</t>
        </is>
      </c>
      <c r="D13" t="inlineStr">
        <is>
          <t>Lisans</t>
        </is>
      </c>
      <c r="E13" t="inlineStr">
        <is>
          <t>Özel Sektör</t>
        </is>
      </c>
      <c r="F13" t="inlineStr">
        <is>
          <t>Haftada birkaç kez</t>
        </is>
      </c>
      <c r="G13" t="inlineStr">
        <is>
          <t>Mobil uygulama</t>
        </is>
      </c>
      <c r="H13" t="n">
        <v>1</v>
      </c>
      <c r="I13" t="n">
        <v>1</v>
      </c>
      <c r="J13" t="n">
        <v>1</v>
      </c>
      <c r="K13" t="n">
        <v>1</v>
      </c>
      <c r="L13" t="n">
        <v>0.3333333333333333</v>
      </c>
      <c r="M13" t="n">
        <v>0.3333333333333333</v>
      </c>
      <c r="N13" t="n">
        <v>0.3333333333333333</v>
      </c>
      <c r="O13" t="n">
        <v>1</v>
      </c>
      <c r="P13" t="n">
        <v>1</v>
      </c>
      <c r="Q13" t="n">
        <v>1</v>
      </c>
      <c r="R13" t="n">
        <v>90</v>
      </c>
      <c r="S13" t="n">
        <v>60</v>
      </c>
      <c r="T13" t="n">
        <v>70</v>
      </c>
      <c r="U13" t="inlineStr">
        <is>
          <t>Kullanmıyorum</t>
        </is>
      </c>
      <c r="V13" t="n">
        <v>60</v>
      </c>
      <c r="W13" t="n">
        <v>90</v>
      </c>
      <c r="X13" t="n">
        <v>80</v>
      </c>
      <c r="Y13" t="n">
        <v>70</v>
      </c>
      <c r="Z13" t="n">
        <v>70</v>
      </c>
      <c r="AA13" t="n">
        <v>40</v>
      </c>
      <c r="AB13" t="n">
        <v>90</v>
      </c>
      <c r="AC13" t="n">
        <v>80</v>
      </c>
      <c r="AD13" t="n">
        <v>50</v>
      </c>
      <c r="AE13" t="n">
        <v>60</v>
      </c>
      <c r="AF13" t="n">
        <v>70</v>
      </c>
      <c r="AG13" t="n">
        <v>60</v>
      </c>
      <c r="AH13" t="n">
        <v>70</v>
      </c>
      <c r="AI13" t="n">
        <v>80</v>
      </c>
      <c r="AJ13" t="n">
        <v>80</v>
      </c>
      <c r="AK13" t="n">
        <v>70</v>
      </c>
      <c r="AL13" t="n">
        <v>70</v>
      </c>
      <c r="AM13" t="inlineStr">
        <is>
          <t>Kullanmıyorum</t>
        </is>
      </c>
      <c r="AN13" t="n">
        <v>70</v>
      </c>
      <c r="AO13" t="n">
        <v>90</v>
      </c>
      <c r="AP13" t="n">
        <v>70</v>
      </c>
      <c r="AQ13" t="n">
        <v>60</v>
      </c>
      <c r="AR13" t="n">
        <v>70</v>
      </c>
      <c r="AS13" t="n">
        <v>40</v>
      </c>
      <c r="AT13" t="n">
        <v>60</v>
      </c>
      <c r="AU13" t="n">
        <v>80</v>
      </c>
    </row>
    <row r="14">
      <c r="A14" t="n">
        <v>13</v>
      </c>
      <c r="B14" t="inlineStr">
        <is>
          <t>Kadın</t>
        </is>
      </c>
      <c r="C14" t="inlineStr">
        <is>
          <t>35-44</t>
        </is>
      </c>
      <c r="D14" t="inlineStr">
        <is>
          <t>Ön Lisans</t>
        </is>
      </c>
      <c r="E14" t="inlineStr">
        <is>
          <t>Öğrenci</t>
        </is>
      </c>
      <c r="F14" t="inlineStr">
        <is>
          <t>Ayda birkaç kez</t>
        </is>
      </c>
      <c r="G14" t="inlineStr">
        <is>
          <t>Mobil uygulama</t>
        </is>
      </c>
      <c r="H14" t="n">
        <v>1</v>
      </c>
      <c r="I14" t="n">
        <v>1</v>
      </c>
      <c r="J14" t="n">
        <v>1</v>
      </c>
      <c r="K14" t="n">
        <v>0.3333333333333333</v>
      </c>
      <c r="L14" t="n">
        <v>0.2</v>
      </c>
      <c r="M14" t="n">
        <v>3</v>
      </c>
      <c r="N14" t="n">
        <v>1</v>
      </c>
      <c r="O14" t="n">
        <v>1</v>
      </c>
      <c r="P14" t="n">
        <v>0.3333333333333333</v>
      </c>
      <c r="Q14" t="n">
        <v>5</v>
      </c>
      <c r="R14" t="n">
        <v>70</v>
      </c>
      <c r="S14" t="n">
        <v>60</v>
      </c>
      <c r="T14" t="n">
        <v>90</v>
      </c>
      <c r="U14" t="n">
        <v>50</v>
      </c>
      <c r="V14" t="n">
        <v>70</v>
      </c>
      <c r="W14" t="n">
        <v>70</v>
      </c>
      <c r="X14" t="n">
        <v>80</v>
      </c>
      <c r="Y14" t="n">
        <v>50</v>
      </c>
      <c r="Z14" t="n">
        <v>70</v>
      </c>
      <c r="AA14" t="n">
        <v>50</v>
      </c>
      <c r="AB14" t="n">
        <v>70</v>
      </c>
      <c r="AC14" t="n">
        <v>80</v>
      </c>
      <c r="AD14" t="n">
        <v>80</v>
      </c>
      <c r="AE14" t="n">
        <v>60</v>
      </c>
      <c r="AF14" t="n">
        <v>90</v>
      </c>
      <c r="AG14" t="n">
        <v>60</v>
      </c>
      <c r="AH14" t="n">
        <v>70</v>
      </c>
      <c r="AI14" t="n">
        <v>90</v>
      </c>
      <c r="AJ14" t="n">
        <v>80</v>
      </c>
      <c r="AK14" t="n">
        <v>70</v>
      </c>
      <c r="AL14" t="n">
        <v>70</v>
      </c>
      <c r="AM14" t="n">
        <v>50</v>
      </c>
      <c r="AN14" t="n">
        <v>80</v>
      </c>
      <c r="AO14" t="n">
        <v>90</v>
      </c>
      <c r="AP14" t="n">
        <v>80</v>
      </c>
      <c r="AQ14" t="n">
        <v>60</v>
      </c>
      <c r="AR14" t="n">
        <v>70</v>
      </c>
      <c r="AS14" t="n">
        <v>70</v>
      </c>
      <c r="AT14" t="n">
        <v>60</v>
      </c>
      <c r="AU14" t="n">
        <v>70</v>
      </c>
    </row>
    <row r="15">
      <c r="A15" t="n">
        <v>14</v>
      </c>
      <c r="B15" t="inlineStr">
        <is>
          <t>Kadın</t>
        </is>
      </c>
      <c r="C15" t="inlineStr">
        <is>
          <t>18-24</t>
        </is>
      </c>
      <c r="D15" t="inlineStr">
        <is>
          <t>Ön Lisans</t>
        </is>
      </c>
      <c r="E15" t="inlineStr">
        <is>
          <t>Özel Sektör</t>
        </is>
      </c>
      <c r="F15" t="inlineStr">
        <is>
          <t>Ayda birkaç kez</t>
        </is>
      </c>
      <c r="G15" t="inlineStr">
        <is>
          <t>Mobil uygulama</t>
        </is>
      </c>
      <c r="H15" t="n">
        <v>3</v>
      </c>
      <c r="I15" t="n">
        <v>1</v>
      </c>
      <c r="J15" t="n">
        <v>3</v>
      </c>
      <c r="K15" t="n">
        <v>1</v>
      </c>
      <c r="L15" t="n">
        <v>0.3333333333333333</v>
      </c>
      <c r="M15" t="n">
        <v>1</v>
      </c>
      <c r="N15" t="n">
        <v>0.3333333333333333</v>
      </c>
      <c r="O15" t="n">
        <v>5</v>
      </c>
      <c r="P15" t="n">
        <v>1</v>
      </c>
      <c r="Q15" t="n">
        <v>0.2</v>
      </c>
      <c r="R15" t="n">
        <v>70</v>
      </c>
      <c r="S15" t="n">
        <v>60</v>
      </c>
      <c r="T15" t="n">
        <v>90</v>
      </c>
      <c r="U15" t="n">
        <v>60</v>
      </c>
      <c r="V15" t="n">
        <v>70</v>
      </c>
      <c r="W15" t="n">
        <v>80</v>
      </c>
      <c r="X15" t="n">
        <v>70</v>
      </c>
      <c r="Y15" t="n">
        <v>60</v>
      </c>
      <c r="Z15" t="n">
        <v>90</v>
      </c>
      <c r="AA15" t="n">
        <v>50</v>
      </c>
      <c r="AB15" t="n">
        <v>70</v>
      </c>
      <c r="AC15" t="n">
        <v>90</v>
      </c>
      <c r="AD15" t="n">
        <v>80</v>
      </c>
      <c r="AE15" t="inlineStr">
        <is>
          <t>Kullanmıyorum</t>
        </is>
      </c>
      <c r="AF15" t="n">
        <v>70</v>
      </c>
      <c r="AG15" t="n">
        <v>60</v>
      </c>
      <c r="AH15" t="n">
        <v>70</v>
      </c>
      <c r="AI15" t="n">
        <v>90</v>
      </c>
      <c r="AJ15" t="n">
        <v>80</v>
      </c>
      <c r="AK15" t="n">
        <v>60</v>
      </c>
      <c r="AL15" t="n">
        <v>80</v>
      </c>
      <c r="AM15" t="n">
        <v>60</v>
      </c>
      <c r="AN15" t="n">
        <v>70</v>
      </c>
      <c r="AO15" t="n">
        <v>80</v>
      </c>
      <c r="AP15" t="n">
        <v>70</v>
      </c>
      <c r="AQ15" t="n">
        <v>60</v>
      </c>
      <c r="AR15" t="n">
        <v>80</v>
      </c>
      <c r="AS15" t="n">
        <v>50</v>
      </c>
      <c r="AT15" t="n">
        <v>70</v>
      </c>
      <c r="AU15" t="n">
        <v>80</v>
      </c>
    </row>
    <row r="16">
      <c r="A16" t="n">
        <v>15</v>
      </c>
      <c r="B16" t="inlineStr">
        <is>
          <t>Erkek</t>
        </is>
      </c>
      <c r="C16" t="inlineStr">
        <is>
          <t>25-34</t>
        </is>
      </c>
      <c r="D16" t="inlineStr">
        <is>
          <t>Ön Lisans</t>
        </is>
      </c>
      <c r="E16" t="inlineStr">
        <is>
          <t>Emekli</t>
        </is>
      </c>
      <c r="F16" t="inlineStr">
        <is>
          <t>Daha az</t>
        </is>
      </c>
      <c r="G16" t="inlineStr">
        <is>
          <t>Masaüstü tarayıcı</t>
        </is>
      </c>
      <c r="H16" t="n">
        <v>1</v>
      </c>
      <c r="I16" t="n">
        <v>1</v>
      </c>
      <c r="J16" t="n">
        <v>1</v>
      </c>
      <c r="K16" t="n">
        <v>0.3333333333333333</v>
      </c>
      <c r="L16" t="n">
        <v>1</v>
      </c>
      <c r="M16" t="n">
        <v>1</v>
      </c>
      <c r="N16" t="n">
        <v>1</v>
      </c>
      <c r="O16" t="n">
        <v>1</v>
      </c>
      <c r="P16" t="n">
        <v>0.3333333333333333</v>
      </c>
      <c r="Q16" t="n">
        <v>0.3333333333333333</v>
      </c>
      <c r="R16" t="n">
        <v>90</v>
      </c>
      <c r="S16" t="n">
        <v>60</v>
      </c>
      <c r="T16" t="n">
        <v>90</v>
      </c>
      <c r="U16" t="inlineStr">
        <is>
          <t>Kullanmıyorum</t>
        </is>
      </c>
      <c r="V16" t="n">
        <v>70</v>
      </c>
      <c r="W16" t="n">
        <v>70</v>
      </c>
      <c r="X16" t="n">
        <v>80</v>
      </c>
      <c r="Y16" t="n">
        <v>50</v>
      </c>
      <c r="Z16" t="n">
        <v>80</v>
      </c>
      <c r="AA16" t="n">
        <v>50</v>
      </c>
      <c r="AB16" t="n">
        <v>80</v>
      </c>
      <c r="AC16" t="inlineStr">
        <is>
          <t>Kullanmıyorum</t>
        </is>
      </c>
      <c r="AD16" t="n">
        <v>70</v>
      </c>
      <c r="AE16" t="n">
        <v>60</v>
      </c>
      <c r="AF16" t="n">
        <v>70</v>
      </c>
      <c r="AG16" t="n">
        <v>60</v>
      </c>
      <c r="AH16" t="n">
        <v>80</v>
      </c>
      <c r="AI16" t="n">
        <v>70</v>
      </c>
      <c r="AJ16" t="n">
        <v>80</v>
      </c>
      <c r="AK16" t="n">
        <v>70</v>
      </c>
      <c r="AL16" t="n">
        <v>80</v>
      </c>
      <c r="AM16" t="n">
        <v>60</v>
      </c>
      <c r="AN16" t="n">
        <v>80</v>
      </c>
      <c r="AO16" t="n">
        <v>70</v>
      </c>
      <c r="AP16" t="n">
        <v>90</v>
      </c>
      <c r="AQ16" t="n">
        <v>70</v>
      </c>
      <c r="AR16" t="n">
        <v>80</v>
      </c>
      <c r="AS16" t="n">
        <v>50</v>
      </c>
      <c r="AT16" t="n">
        <v>60</v>
      </c>
      <c r="AU16" t="inlineStr">
        <is>
          <t>Kullanmıyorum</t>
        </is>
      </c>
    </row>
    <row r="17">
      <c r="A17" t="n">
        <v>16</v>
      </c>
      <c r="B17" t="inlineStr">
        <is>
          <t>Erkek</t>
        </is>
      </c>
      <c r="C17" t="inlineStr">
        <is>
          <t>25-34</t>
        </is>
      </c>
      <c r="D17" t="inlineStr">
        <is>
          <t>Yüksek Lisans</t>
        </is>
      </c>
      <c r="E17" t="inlineStr">
        <is>
          <t>Özel Sektör</t>
        </is>
      </c>
      <c r="F17" t="inlineStr">
        <is>
          <t>Ayda birkaç kez</t>
        </is>
      </c>
      <c r="G17" t="inlineStr">
        <is>
          <t>Tablet</t>
        </is>
      </c>
      <c r="H17" t="n">
        <v>1</v>
      </c>
      <c r="I17" t="n">
        <v>1</v>
      </c>
      <c r="J17" t="n">
        <v>3</v>
      </c>
      <c r="K17" t="n">
        <v>1</v>
      </c>
      <c r="L17" t="n">
        <v>1</v>
      </c>
      <c r="M17" t="n">
        <v>3</v>
      </c>
      <c r="N17" t="n">
        <v>1</v>
      </c>
      <c r="O17" t="n">
        <v>3</v>
      </c>
      <c r="P17" t="n">
        <v>1</v>
      </c>
      <c r="Q17" t="n">
        <v>0.3333333333333333</v>
      </c>
      <c r="R17" t="n">
        <v>70</v>
      </c>
      <c r="S17" t="n">
        <v>70</v>
      </c>
      <c r="T17" t="n">
        <v>70</v>
      </c>
      <c r="U17" t="n">
        <v>70</v>
      </c>
      <c r="V17" t="inlineStr">
        <is>
          <t>Kullanmıyorum</t>
        </is>
      </c>
      <c r="W17" t="n">
        <v>90</v>
      </c>
      <c r="X17" t="n">
        <v>80</v>
      </c>
      <c r="Y17" t="n">
        <v>60</v>
      </c>
      <c r="Z17" t="n">
        <v>90</v>
      </c>
      <c r="AA17" t="n">
        <v>40</v>
      </c>
      <c r="AB17" t="n">
        <v>70</v>
      </c>
      <c r="AC17" t="n">
        <v>100</v>
      </c>
      <c r="AD17" t="n">
        <v>90</v>
      </c>
      <c r="AE17" t="n">
        <v>50</v>
      </c>
      <c r="AF17" t="n">
        <v>90</v>
      </c>
      <c r="AG17" t="n">
        <v>50</v>
      </c>
      <c r="AH17" t="n">
        <v>60</v>
      </c>
      <c r="AI17" t="n">
        <v>80</v>
      </c>
      <c r="AJ17" t="n">
        <v>80</v>
      </c>
      <c r="AK17" t="n">
        <v>60</v>
      </c>
      <c r="AL17" t="n">
        <v>80</v>
      </c>
      <c r="AM17" t="n">
        <v>50</v>
      </c>
      <c r="AN17" t="n">
        <v>80</v>
      </c>
      <c r="AO17" t="n">
        <v>80</v>
      </c>
      <c r="AP17" t="n">
        <v>90</v>
      </c>
      <c r="AQ17" t="n">
        <v>70</v>
      </c>
      <c r="AR17" t="n">
        <v>70</v>
      </c>
      <c r="AS17" t="n">
        <v>60</v>
      </c>
      <c r="AT17" t="n">
        <v>60</v>
      </c>
      <c r="AU17" t="n">
        <v>70</v>
      </c>
    </row>
    <row r="18">
      <c r="A18" t="n">
        <v>17</v>
      </c>
      <c r="B18" t="inlineStr">
        <is>
          <t>Kadın</t>
        </is>
      </c>
      <c r="C18" t="inlineStr">
        <is>
          <t>25-34</t>
        </is>
      </c>
      <c r="D18" t="inlineStr">
        <is>
          <t>Lisans</t>
        </is>
      </c>
      <c r="E18" t="inlineStr">
        <is>
          <t>Öğrenci</t>
        </is>
      </c>
      <c r="F18" t="inlineStr">
        <is>
          <t>Haftada bir</t>
        </is>
      </c>
      <c r="G18" t="inlineStr">
        <is>
          <t>Mobil tarayıcı</t>
        </is>
      </c>
      <c r="H18" t="n">
        <v>1</v>
      </c>
      <c r="I18" t="n">
        <v>0.3333333333333333</v>
      </c>
      <c r="J18" t="n">
        <v>1</v>
      </c>
      <c r="K18" t="n">
        <v>0.3333333333333333</v>
      </c>
      <c r="L18" t="n">
        <v>0.3333333333333333</v>
      </c>
      <c r="M18" t="n">
        <v>1</v>
      </c>
      <c r="N18" t="n">
        <v>0.3333333333333333</v>
      </c>
      <c r="O18" t="n">
        <v>1</v>
      </c>
      <c r="P18" t="n">
        <v>1</v>
      </c>
      <c r="Q18" t="n">
        <v>0.3333333333333333</v>
      </c>
      <c r="R18" t="n">
        <v>90</v>
      </c>
      <c r="S18" t="n">
        <v>60</v>
      </c>
      <c r="T18" t="n">
        <v>70</v>
      </c>
      <c r="U18" t="n">
        <v>70</v>
      </c>
      <c r="V18" t="n">
        <v>90</v>
      </c>
      <c r="W18" t="n">
        <v>80</v>
      </c>
      <c r="X18" t="n">
        <v>70</v>
      </c>
      <c r="Y18" t="n">
        <v>60</v>
      </c>
      <c r="Z18" t="n">
        <v>70</v>
      </c>
      <c r="AA18" t="n">
        <v>60</v>
      </c>
      <c r="AB18" t="n">
        <v>70</v>
      </c>
      <c r="AC18" t="n">
        <v>80</v>
      </c>
      <c r="AD18" t="n">
        <v>60</v>
      </c>
      <c r="AE18" t="n">
        <v>50</v>
      </c>
      <c r="AF18" t="n">
        <v>70</v>
      </c>
      <c r="AG18" t="n">
        <v>60</v>
      </c>
      <c r="AH18" t="n">
        <v>70</v>
      </c>
      <c r="AI18" t="n">
        <v>90</v>
      </c>
      <c r="AJ18" t="n">
        <v>80</v>
      </c>
      <c r="AK18" t="n">
        <v>60</v>
      </c>
      <c r="AL18" t="n">
        <v>80</v>
      </c>
      <c r="AM18" t="n">
        <v>40</v>
      </c>
      <c r="AN18" t="n">
        <v>90</v>
      </c>
      <c r="AO18" t="n">
        <v>80</v>
      </c>
      <c r="AP18" t="n">
        <v>90</v>
      </c>
      <c r="AQ18" t="n">
        <v>80</v>
      </c>
      <c r="AR18" t="n">
        <v>70</v>
      </c>
      <c r="AS18" t="n">
        <v>50</v>
      </c>
      <c r="AT18" t="n">
        <v>60</v>
      </c>
      <c r="AU18" t="n">
        <v>70</v>
      </c>
    </row>
    <row r="19">
      <c r="A19" t="n">
        <v>18</v>
      </c>
      <c r="B19" t="inlineStr">
        <is>
          <t>Kadın</t>
        </is>
      </c>
      <c r="C19" t="inlineStr">
        <is>
          <t>55+</t>
        </is>
      </c>
      <c r="D19" t="inlineStr">
        <is>
          <t>Lise</t>
        </is>
      </c>
      <c r="E19" t="inlineStr">
        <is>
          <t>Öğrenci</t>
        </is>
      </c>
      <c r="F19" t="inlineStr">
        <is>
          <t>Ayda bir</t>
        </is>
      </c>
      <c r="G19" t="inlineStr">
        <is>
          <t>Mobil tarayıcı</t>
        </is>
      </c>
      <c r="H19" t="n">
        <v>1</v>
      </c>
      <c r="I19" t="n">
        <v>1</v>
      </c>
      <c r="J19" t="n">
        <v>1</v>
      </c>
      <c r="K19" t="n">
        <v>0.3333333333333333</v>
      </c>
      <c r="L19" t="n">
        <v>3</v>
      </c>
      <c r="M19" t="n">
        <v>1</v>
      </c>
      <c r="N19" t="n">
        <v>0.3333333333333333</v>
      </c>
      <c r="O19" t="n">
        <v>1</v>
      </c>
      <c r="P19" t="n">
        <v>0.3333333333333333</v>
      </c>
      <c r="Q19" t="n">
        <v>0.3333333333333333</v>
      </c>
      <c r="R19" t="inlineStr">
        <is>
          <t>Kullanmıyorum</t>
        </is>
      </c>
      <c r="S19" t="n">
        <v>60</v>
      </c>
      <c r="T19" t="n">
        <v>80</v>
      </c>
      <c r="U19" t="n">
        <v>60</v>
      </c>
      <c r="V19" t="inlineStr">
        <is>
          <t>Kullanmıyorum</t>
        </is>
      </c>
      <c r="W19" t="n">
        <v>70</v>
      </c>
      <c r="X19" t="n">
        <v>90</v>
      </c>
      <c r="Y19" t="n">
        <v>60</v>
      </c>
      <c r="Z19" t="n">
        <v>90</v>
      </c>
      <c r="AA19" t="n">
        <v>50</v>
      </c>
      <c r="AB19" t="inlineStr">
        <is>
          <t>Kullanmıyorum</t>
        </is>
      </c>
      <c r="AC19" t="n">
        <v>80</v>
      </c>
      <c r="AD19" t="n">
        <v>80</v>
      </c>
      <c r="AE19" t="n">
        <v>60</v>
      </c>
      <c r="AF19" t="inlineStr">
        <is>
          <t>Kullanmıyorum</t>
        </is>
      </c>
      <c r="AG19" t="n">
        <v>50</v>
      </c>
      <c r="AH19" t="n">
        <v>90</v>
      </c>
      <c r="AI19" t="n">
        <v>80</v>
      </c>
      <c r="AJ19" t="n">
        <v>80</v>
      </c>
      <c r="AK19" t="n">
        <v>60</v>
      </c>
      <c r="AL19" t="n">
        <v>80</v>
      </c>
      <c r="AM19" t="inlineStr">
        <is>
          <t>Kullanmıyorum</t>
        </is>
      </c>
      <c r="AN19" t="n">
        <v>70</v>
      </c>
      <c r="AO19" t="n">
        <v>80</v>
      </c>
      <c r="AP19" t="n">
        <v>80</v>
      </c>
      <c r="AQ19" t="inlineStr">
        <is>
          <t>Kullanmıyorum</t>
        </is>
      </c>
      <c r="AR19" t="inlineStr">
        <is>
          <t>Kullanmıyorum</t>
        </is>
      </c>
      <c r="AS19" t="n">
        <v>50</v>
      </c>
      <c r="AT19" t="n">
        <v>60</v>
      </c>
      <c r="AU19" t="n">
        <v>60</v>
      </c>
    </row>
    <row r="20">
      <c r="A20" t="n">
        <v>19</v>
      </c>
      <c r="B20" t="inlineStr">
        <is>
          <t>Belirtmek istemiyorum</t>
        </is>
      </c>
      <c r="C20" t="inlineStr">
        <is>
          <t>18-24</t>
        </is>
      </c>
      <c r="D20" t="inlineStr">
        <is>
          <t>Lisans</t>
        </is>
      </c>
      <c r="E20" t="inlineStr">
        <is>
          <t>Özel Sektör</t>
        </is>
      </c>
      <c r="F20" t="inlineStr">
        <is>
          <t>Ayda birkaç kez</t>
        </is>
      </c>
      <c r="G20" t="inlineStr">
        <is>
          <t>Mobil uygulama</t>
        </is>
      </c>
      <c r="H20" t="n">
        <v>1</v>
      </c>
      <c r="I20" t="n">
        <v>1</v>
      </c>
      <c r="J20" t="n">
        <v>1</v>
      </c>
      <c r="K20" t="n">
        <v>1</v>
      </c>
      <c r="L20" t="n">
        <v>0.3333333333333333</v>
      </c>
      <c r="M20" t="n">
        <v>1</v>
      </c>
      <c r="N20" t="n">
        <v>0.3333333333333333</v>
      </c>
      <c r="O20" t="n">
        <v>1</v>
      </c>
      <c r="P20" t="n">
        <v>1</v>
      </c>
      <c r="Q20" t="n">
        <v>0.3333333333333333</v>
      </c>
      <c r="R20" t="n">
        <v>90</v>
      </c>
      <c r="S20" t="n">
        <v>70</v>
      </c>
      <c r="T20" t="n">
        <v>100</v>
      </c>
      <c r="U20" t="n">
        <v>50</v>
      </c>
      <c r="V20" t="n">
        <v>70</v>
      </c>
      <c r="W20" t="n">
        <v>80</v>
      </c>
      <c r="X20" t="n">
        <v>90</v>
      </c>
      <c r="Y20" t="n">
        <v>70</v>
      </c>
      <c r="Z20" t="n">
        <v>70</v>
      </c>
      <c r="AA20" t="n">
        <v>40</v>
      </c>
      <c r="AB20" t="n">
        <v>60</v>
      </c>
      <c r="AC20" t="n">
        <v>80</v>
      </c>
      <c r="AD20" t="n">
        <v>80</v>
      </c>
      <c r="AE20" t="n">
        <v>40</v>
      </c>
      <c r="AF20" t="n">
        <v>80</v>
      </c>
      <c r="AG20" t="n">
        <v>50</v>
      </c>
      <c r="AH20" t="n">
        <v>80</v>
      </c>
      <c r="AI20" t="n">
        <v>90</v>
      </c>
      <c r="AJ20" t="n">
        <v>80</v>
      </c>
      <c r="AK20" t="n">
        <v>60</v>
      </c>
      <c r="AL20" t="n">
        <v>80</v>
      </c>
      <c r="AM20" t="n">
        <v>50</v>
      </c>
      <c r="AN20" t="n">
        <v>80</v>
      </c>
      <c r="AO20" t="n">
        <v>80</v>
      </c>
      <c r="AP20" t="n">
        <v>80</v>
      </c>
      <c r="AQ20" t="n">
        <v>60</v>
      </c>
      <c r="AR20" t="n">
        <v>80</v>
      </c>
      <c r="AS20" t="n">
        <v>40</v>
      </c>
      <c r="AT20" t="n">
        <v>60</v>
      </c>
      <c r="AU20" t="n">
        <v>70</v>
      </c>
    </row>
    <row r="21">
      <c r="A21" t="n">
        <v>20</v>
      </c>
      <c r="B21" t="inlineStr">
        <is>
          <t>Kadın</t>
        </is>
      </c>
      <c r="C21" t="inlineStr">
        <is>
          <t>25-34</t>
        </is>
      </c>
      <c r="D21" t="inlineStr">
        <is>
          <t>Lisans</t>
        </is>
      </c>
      <c r="E21" t="inlineStr">
        <is>
          <t>Özel Sektör</t>
        </is>
      </c>
      <c r="F21" t="inlineStr">
        <is>
          <t>Ayda birkaç kez</t>
        </is>
      </c>
      <c r="G21" t="inlineStr">
        <is>
          <t>Mobil uygulama</t>
        </is>
      </c>
      <c r="H21" t="n">
        <v>1</v>
      </c>
      <c r="I21" t="n">
        <v>1</v>
      </c>
      <c r="J21" t="n">
        <v>1</v>
      </c>
      <c r="K21" t="n">
        <v>0.3333333333333333</v>
      </c>
      <c r="L21" t="n">
        <v>0.3333333333333333</v>
      </c>
      <c r="M21" t="n">
        <v>1</v>
      </c>
      <c r="N21" t="n">
        <v>0.3333333333333333</v>
      </c>
      <c r="O21" t="n">
        <v>3</v>
      </c>
      <c r="P21" t="n">
        <v>1</v>
      </c>
      <c r="Q21" t="n">
        <v>0.3333333333333333</v>
      </c>
      <c r="R21" t="n">
        <v>60</v>
      </c>
      <c r="S21" t="n">
        <v>70</v>
      </c>
      <c r="T21" t="n">
        <v>80</v>
      </c>
      <c r="U21" t="n">
        <v>50</v>
      </c>
      <c r="V21" t="n">
        <v>70</v>
      </c>
      <c r="W21" t="n">
        <v>90</v>
      </c>
      <c r="X21" t="n">
        <v>90</v>
      </c>
      <c r="Y21" t="n">
        <v>70</v>
      </c>
      <c r="Z21" t="n">
        <v>90</v>
      </c>
      <c r="AA21" t="n">
        <v>50</v>
      </c>
      <c r="AB21" t="n">
        <v>60</v>
      </c>
      <c r="AC21" t="n">
        <v>80</v>
      </c>
      <c r="AD21" t="n">
        <v>80</v>
      </c>
      <c r="AE21" t="inlineStr">
        <is>
          <t>Kullanmıyorum</t>
        </is>
      </c>
      <c r="AF21" t="n">
        <v>90</v>
      </c>
      <c r="AG21" t="n">
        <v>50</v>
      </c>
      <c r="AH21" t="n">
        <v>70</v>
      </c>
      <c r="AI21" t="n">
        <v>80</v>
      </c>
      <c r="AJ21" t="n">
        <v>90</v>
      </c>
      <c r="AK21" t="n">
        <v>50</v>
      </c>
      <c r="AL21" t="n">
        <v>70</v>
      </c>
      <c r="AM21" t="n">
        <v>50</v>
      </c>
      <c r="AN21" t="n">
        <v>80</v>
      </c>
      <c r="AO21" t="n">
        <v>80</v>
      </c>
      <c r="AP21" t="n">
        <v>80</v>
      </c>
      <c r="AQ21" t="n">
        <v>60</v>
      </c>
      <c r="AR21" t="n">
        <v>80</v>
      </c>
      <c r="AS21" t="n">
        <v>60</v>
      </c>
      <c r="AT21" t="n">
        <v>60</v>
      </c>
      <c r="AU21" t="n">
        <v>70</v>
      </c>
    </row>
    <row r="22">
      <c r="A22" t="n">
        <v>21</v>
      </c>
      <c r="B22" t="inlineStr">
        <is>
          <t>Kadın</t>
        </is>
      </c>
      <c r="C22" t="inlineStr">
        <is>
          <t>25-34</t>
        </is>
      </c>
      <c r="D22" t="inlineStr">
        <is>
          <t>Lisans</t>
        </is>
      </c>
      <c r="E22" t="inlineStr">
        <is>
          <t>Öğrenci</t>
        </is>
      </c>
      <c r="F22" t="inlineStr">
        <is>
          <t>Haftada birkaç kez</t>
        </is>
      </c>
      <c r="G22" t="inlineStr">
        <is>
          <t>Tablet</t>
        </is>
      </c>
      <c r="H22" t="n">
        <v>5</v>
      </c>
      <c r="I22" t="n">
        <v>1</v>
      </c>
      <c r="J22" t="n">
        <v>0.3333333333333333</v>
      </c>
      <c r="K22" t="n">
        <v>5</v>
      </c>
      <c r="L22" t="n">
        <v>5</v>
      </c>
      <c r="M22" t="n">
        <v>3</v>
      </c>
      <c r="N22" t="n">
        <v>5</v>
      </c>
      <c r="O22" t="n">
        <v>0.3333333333333333</v>
      </c>
      <c r="P22" t="n">
        <v>0.2</v>
      </c>
      <c r="Q22" t="n">
        <v>3</v>
      </c>
      <c r="R22" t="n">
        <v>90</v>
      </c>
      <c r="S22" t="n">
        <v>60</v>
      </c>
      <c r="T22" t="n">
        <v>80</v>
      </c>
      <c r="U22" t="n">
        <v>50</v>
      </c>
      <c r="V22" t="n">
        <v>80</v>
      </c>
      <c r="W22" t="n">
        <v>80</v>
      </c>
      <c r="X22" t="n">
        <v>90</v>
      </c>
      <c r="Y22" t="n">
        <v>60</v>
      </c>
      <c r="Z22" t="n">
        <v>80</v>
      </c>
      <c r="AA22" t="n">
        <v>40</v>
      </c>
      <c r="AB22" t="n">
        <v>80</v>
      </c>
      <c r="AC22" t="n">
        <v>80</v>
      </c>
      <c r="AD22" t="n">
        <v>80</v>
      </c>
      <c r="AE22" t="inlineStr">
        <is>
          <t>Kullanmıyorum</t>
        </is>
      </c>
      <c r="AF22" t="n">
        <v>90</v>
      </c>
      <c r="AG22" t="n">
        <v>50</v>
      </c>
      <c r="AH22" t="n">
        <v>70</v>
      </c>
      <c r="AI22" t="n">
        <v>70</v>
      </c>
      <c r="AJ22" t="n">
        <v>60</v>
      </c>
      <c r="AK22" t="n">
        <v>60</v>
      </c>
      <c r="AL22" t="n">
        <v>70</v>
      </c>
      <c r="AM22" t="n">
        <v>50</v>
      </c>
      <c r="AN22" t="n">
        <v>80</v>
      </c>
      <c r="AO22" t="n">
        <v>80</v>
      </c>
      <c r="AP22" t="n">
        <v>70</v>
      </c>
      <c r="AQ22" t="n">
        <v>70</v>
      </c>
      <c r="AR22" t="n">
        <v>80</v>
      </c>
      <c r="AS22" t="n">
        <v>60</v>
      </c>
      <c r="AT22" t="n">
        <v>50</v>
      </c>
      <c r="AU22" t="n">
        <v>70</v>
      </c>
    </row>
    <row r="23">
      <c r="A23" t="n">
        <v>22</v>
      </c>
      <c r="B23" t="inlineStr">
        <is>
          <t>Kadın</t>
        </is>
      </c>
      <c r="C23" t="inlineStr">
        <is>
          <t>25-34</t>
        </is>
      </c>
      <c r="D23" t="inlineStr">
        <is>
          <t>Lisans</t>
        </is>
      </c>
      <c r="E23" t="inlineStr">
        <is>
          <t>Özel Sektör</t>
        </is>
      </c>
      <c r="F23" t="inlineStr">
        <is>
          <t>Haftada birkaç kez</t>
        </is>
      </c>
      <c r="G23" t="inlineStr">
        <is>
          <t>Mobil uygulama</t>
        </is>
      </c>
      <c r="H23" t="n">
        <v>1</v>
      </c>
      <c r="I23" t="n">
        <v>0.3333333333333333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80</v>
      </c>
      <c r="S23" t="n">
        <v>60</v>
      </c>
      <c r="T23" t="n">
        <v>80</v>
      </c>
      <c r="U23" t="n">
        <v>50</v>
      </c>
      <c r="V23" t="n">
        <v>70</v>
      </c>
      <c r="W23" t="n">
        <v>100</v>
      </c>
      <c r="X23" t="n">
        <v>80</v>
      </c>
      <c r="Y23" t="n">
        <v>60</v>
      </c>
      <c r="Z23" t="n">
        <v>70</v>
      </c>
      <c r="AA23" t="n">
        <v>50</v>
      </c>
      <c r="AB23" t="n">
        <v>90</v>
      </c>
      <c r="AC23" t="n">
        <v>90</v>
      </c>
      <c r="AD23" t="inlineStr">
        <is>
          <t>Kullanmıyorum</t>
        </is>
      </c>
      <c r="AE23" t="n">
        <v>50</v>
      </c>
      <c r="AF23" t="n">
        <v>90</v>
      </c>
      <c r="AG23" t="n">
        <v>60</v>
      </c>
      <c r="AH23" t="n">
        <v>80</v>
      </c>
      <c r="AI23" t="n">
        <v>70</v>
      </c>
      <c r="AJ23" t="n">
        <v>70</v>
      </c>
      <c r="AK23" t="n">
        <v>70</v>
      </c>
      <c r="AL23" t="n">
        <v>80</v>
      </c>
      <c r="AM23" t="n">
        <v>50</v>
      </c>
      <c r="AN23" t="n">
        <v>70</v>
      </c>
      <c r="AO23" t="n">
        <v>80</v>
      </c>
      <c r="AP23" t="n">
        <v>100</v>
      </c>
      <c r="AQ23" t="n">
        <v>60</v>
      </c>
      <c r="AR23" t="n">
        <v>60</v>
      </c>
      <c r="AS23" t="n">
        <v>50</v>
      </c>
      <c r="AT23" t="n">
        <v>60</v>
      </c>
      <c r="AU23" t="n">
        <v>90</v>
      </c>
    </row>
    <row r="24">
      <c r="A24" t="n">
        <v>23</v>
      </c>
      <c r="B24" t="inlineStr">
        <is>
          <t>Kadın</t>
        </is>
      </c>
      <c r="C24" t="inlineStr">
        <is>
          <t>25-34</t>
        </is>
      </c>
      <c r="D24" t="inlineStr">
        <is>
          <t>Lisans</t>
        </is>
      </c>
      <c r="E24" t="inlineStr">
        <is>
          <t>Öğrenci</t>
        </is>
      </c>
      <c r="F24" t="inlineStr">
        <is>
          <t>Haftada bir</t>
        </is>
      </c>
      <c r="G24" t="inlineStr">
        <is>
          <t>Mobil uygulama</t>
        </is>
      </c>
      <c r="H24" t="n">
        <v>0.2</v>
      </c>
      <c r="I24" t="n">
        <v>0.3333333333333333</v>
      </c>
      <c r="J24" t="n">
        <v>0.3333333333333333</v>
      </c>
      <c r="K24" t="n">
        <v>1</v>
      </c>
      <c r="L24" t="n">
        <v>3</v>
      </c>
      <c r="M24" t="n">
        <v>0.3333333333333333</v>
      </c>
      <c r="N24" t="n">
        <v>3</v>
      </c>
      <c r="O24" t="n">
        <v>5</v>
      </c>
      <c r="P24" t="n">
        <v>3</v>
      </c>
      <c r="Q24" t="n">
        <v>0.3333333333333333</v>
      </c>
      <c r="R24" t="n">
        <v>80</v>
      </c>
      <c r="S24" t="n">
        <v>70</v>
      </c>
      <c r="T24" t="n">
        <v>70</v>
      </c>
      <c r="U24" t="n">
        <v>70</v>
      </c>
      <c r="V24" t="inlineStr">
        <is>
          <t>Kullanmıyorum</t>
        </is>
      </c>
      <c r="W24" t="n">
        <v>80</v>
      </c>
      <c r="X24" t="n">
        <v>80</v>
      </c>
      <c r="Y24" t="n">
        <v>60</v>
      </c>
      <c r="Z24" t="n">
        <v>70</v>
      </c>
      <c r="AA24" t="n">
        <v>40</v>
      </c>
      <c r="AB24" t="n">
        <v>80</v>
      </c>
      <c r="AC24" t="n">
        <v>80</v>
      </c>
      <c r="AD24" t="n">
        <v>90</v>
      </c>
      <c r="AE24" t="n">
        <v>60</v>
      </c>
      <c r="AF24" t="n">
        <v>90</v>
      </c>
      <c r="AG24" t="n">
        <v>50</v>
      </c>
      <c r="AH24" t="n">
        <v>70</v>
      </c>
      <c r="AI24" t="n">
        <v>80</v>
      </c>
      <c r="AJ24" t="n">
        <v>80</v>
      </c>
      <c r="AK24" t="n">
        <v>70</v>
      </c>
      <c r="AL24" t="n">
        <v>80</v>
      </c>
      <c r="AM24" t="n">
        <v>40</v>
      </c>
      <c r="AN24" t="n">
        <v>80</v>
      </c>
      <c r="AO24" t="n">
        <v>80</v>
      </c>
      <c r="AP24" t="n">
        <v>80</v>
      </c>
      <c r="AQ24" t="n">
        <v>70</v>
      </c>
      <c r="AR24" t="n">
        <v>70</v>
      </c>
      <c r="AS24" t="n">
        <v>70</v>
      </c>
      <c r="AT24" t="n">
        <v>50</v>
      </c>
      <c r="AU24" t="n">
        <v>80</v>
      </c>
    </row>
    <row r="25">
      <c r="A25" t="n">
        <v>24</v>
      </c>
      <c r="B25" t="inlineStr">
        <is>
          <t>Kadın</t>
        </is>
      </c>
      <c r="C25" t="inlineStr">
        <is>
          <t>25-34</t>
        </is>
      </c>
      <c r="D25" t="inlineStr">
        <is>
          <t>Lisans</t>
        </is>
      </c>
      <c r="E25" t="inlineStr">
        <is>
          <t>Öğrenci</t>
        </is>
      </c>
      <c r="F25" t="inlineStr">
        <is>
          <t>Ayda birkaç kez</t>
        </is>
      </c>
      <c r="G25" t="inlineStr">
        <is>
          <t>Mobil uygulama</t>
        </is>
      </c>
      <c r="H25" t="n">
        <v>0.2</v>
      </c>
      <c r="I25" t="n">
        <v>1</v>
      </c>
      <c r="J25" t="n">
        <v>5</v>
      </c>
      <c r="K25" t="n">
        <v>1</v>
      </c>
      <c r="L25" t="n">
        <v>1</v>
      </c>
      <c r="M25" t="n">
        <v>3</v>
      </c>
      <c r="N25" t="n">
        <v>1</v>
      </c>
      <c r="O25" t="n">
        <v>3</v>
      </c>
      <c r="P25" t="n">
        <v>0.3333333333333333</v>
      </c>
      <c r="Q25" t="n">
        <v>0.3333333333333333</v>
      </c>
      <c r="R25" t="n">
        <v>80</v>
      </c>
      <c r="S25" t="n">
        <v>70</v>
      </c>
      <c r="T25" t="n">
        <v>90</v>
      </c>
      <c r="U25" t="n">
        <v>60</v>
      </c>
      <c r="V25" t="n">
        <v>80</v>
      </c>
      <c r="W25" t="n">
        <v>70</v>
      </c>
      <c r="X25" t="n">
        <v>100</v>
      </c>
      <c r="Y25" t="n">
        <v>70</v>
      </c>
      <c r="Z25" t="n">
        <v>90</v>
      </c>
      <c r="AA25" t="n">
        <v>50</v>
      </c>
      <c r="AB25" t="n">
        <v>60</v>
      </c>
      <c r="AC25" t="n">
        <v>80</v>
      </c>
      <c r="AD25" t="n">
        <v>60</v>
      </c>
      <c r="AE25" t="inlineStr">
        <is>
          <t>Kullanmıyorum</t>
        </is>
      </c>
      <c r="AF25" t="n">
        <v>70</v>
      </c>
      <c r="AG25" t="inlineStr">
        <is>
          <t>Kullanmıyorum</t>
        </is>
      </c>
      <c r="AH25" t="n">
        <v>70</v>
      </c>
      <c r="AI25" t="n">
        <v>70</v>
      </c>
      <c r="AJ25" t="n">
        <v>80</v>
      </c>
      <c r="AK25" t="n">
        <v>70</v>
      </c>
      <c r="AL25" t="n">
        <v>80</v>
      </c>
      <c r="AM25" t="n">
        <v>50</v>
      </c>
      <c r="AN25" t="n">
        <v>70</v>
      </c>
      <c r="AO25" t="n">
        <v>80</v>
      </c>
      <c r="AP25" t="n">
        <v>90</v>
      </c>
      <c r="AQ25" t="n">
        <v>70</v>
      </c>
      <c r="AR25" t="n">
        <v>70</v>
      </c>
      <c r="AS25" t="n">
        <v>50</v>
      </c>
      <c r="AT25" t="n">
        <v>70</v>
      </c>
      <c r="AU25" t="n">
        <v>70</v>
      </c>
    </row>
    <row r="26">
      <c r="A26" t="n">
        <v>25</v>
      </c>
      <c r="B26" t="inlineStr">
        <is>
          <t>Erkek</t>
        </is>
      </c>
      <c r="C26" t="inlineStr">
        <is>
          <t>25-34</t>
        </is>
      </c>
      <c r="D26" t="inlineStr">
        <is>
          <t>Lisans</t>
        </is>
      </c>
      <c r="E26" t="inlineStr">
        <is>
          <t>Özel Sektör</t>
        </is>
      </c>
      <c r="F26" t="inlineStr">
        <is>
          <t>Daha az</t>
        </is>
      </c>
      <c r="G26" t="inlineStr">
        <is>
          <t>Mobil tarayıcı</t>
        </is>
      </c>
      <c r="H26" t="n">
        <v>1</v>
      </c>
      <c r="I26" t="n">
        <v>0.3333333333333333</v>
      </c>
      <c r="J26" t="n">
        <v>0.3333333333333333</v>
      </c>
      <c r="K26" t="n">
        <v>0.3333333333333333</v>
      </c>
      <c r="L26" t="n">
        <v>3</v>
      </c>
      <c r="M26" t="n">
        <v>0.3333333333333333</v>
      </c>
      <c r="N26" t="n">
        <v>0.3333333333333333</v>
      </c>
      <c r="O26" t="n">
        <v>3</v>
      </c>
      <c r="P26" t="n">
        <v>0.3333333333333333</v>
      </c>
      <c r="Q26" t="n">
        <v>5</v>
      </c>
      <c r="R26" t="n">
        <v>70</v>
      </c>
      <c r="S26" t="n">
        <v>60</v>
      </c>
      <c r="T26" t="n">
        <v>70</v>
      </c>
      <c r="U26" t="n">
        <v>40</v>
      </c>
      <c r="V26" t="n">
        <v>60</v>
      </c>
      <c r="W26" t="n">
        <v>90</v>
      </c>
      <c r="X26" t="n">
        <v>100</v>
      </c>
      <c r="Y26" t="n">
        <v>60</v>
      </c>
      <c r="Z26" t="n">
        <v>80</v>
      </c>
      <c r="AA26" t="n">
        <v>50</v>
      </c>
      <c r="AB26" t="n">
        <v>90</v>
      </c>
      <c r="AC26" t="n">
        <v>90</v>
      </c>
      <c r="AD26" t="n">
        <v>70</v>
      </c>
      <c r="AE26" t="n">
        <v>60</v>
      </c>
      <c r="AF26" t="n">
        <v>80</v>
      </c>
      <c r="AG26" t="n">
        <v>70</v>
      </c>
      <c r="AH26" t="n">
        <v>80</v>
      </c>
      <c r="AI26" t="n">
        <v>90</v>
      </c>
      <c r="AJ26" t="n">
        <v>80</v>
      </c>
      <c r="AK26" t="n">
        <v>50</v>
      </c>
      <c r="AL26" t="n">
        <v>70</v>
      </c>
      <c r="AM26" t="n">
        <v>50</v>
      </c>
      <c r="AN26" t="n">
        <v>70</v>
      </c>
      <c r="AO26" t="n">
        <v>70</v>
      </c>
      <c r="AP26" t="n">
        <v>80</v>
      </c>
      <c r="AQ26" t="n">
        <v>50</v>
      </c>
      <c r="AR26" t="n">
        <v>70</v>
      </c>
      <c r="AS26" t="n">
        <v>40</v>
      </c>
      <c r="AT26" t="n">
        <v>70</v>
      </c>
      <c r="AU26" t="n">
        <v>60</v>
      </c>
    </row>
    <row r="27">
      <c r="A27" t="n">
        <v>26</v>
      </c>
      <c r="B27" t="inlineStr">
        <is>
          <t>Erkek</t>
        </is>
      </c>
      <c r="C27" t="inlineStr">
        <is>
          <t>25-34</t>
        </is>
      </c>
      <c r="D27" t="inlineStr">
        <is>
          <t>Lise</t>
        </is>
      </c>
      <c r="E27" t="inlineStr">
        <is>
          <t>Öğrenci</t>
        </is>
      </c>
      <c r="F27" t="inlineStr">
        <is>
          <t>Haftada birkaç kez</t>
        </is>
      </c>
      <c r="G27" t="inlineStr">
        <is>
          <t>Masaüstü tarayıcı</t>
        </is>
      </c>
      <c r="H27" t="n">
        <v>1</v>
      </c>
      <c r="I27" t="n">
        <v>0.3333333333333333</v>
      </c>
      <c r="J27" t="n">
        <v>1</v>
      </c>
      <c r="K27" t="n">
        <v>0.3333333333333333</v>
      </c>
      <c r="L27" t="n">
        <v>0.3333333333333333</v>
      </c>
      <c r="M27" t="n">
        <v>1</v>
      </c>
      <c r="N27" t="n">
        <v>0.3333333333333333</v>
      </c>
      <c r="O27" t="n">
        <v>3</v>
      </c>
      <c r="P27" t="n">
        <v>3</v>
      </c>
      <c r="Q27" t="n">
        <v>0.3333333333333333</v>
      </c>
      <c r="R27" t="n">
        <v>60</v>
      </c>
      <c r="S27" t="n">
        <v>50</v>
      </c>
      <c r="T27" t="n">
        <v>80</v>
      </c>
      <c r="U27" t="n">
        <v>50</v>
      </c>
      <c r="V27" t="n">
        <v>70</v>
      </c>
      <c r="W27" t="n">
        <v>90</v>
      </c>
      <c r="X27" t="n">
        <v>100</v>
      </c>
      <c r="Y27" t="n">
        <v>50</v>
      </c>
      <c r="Z27" t="n">
        <v>80</v>
      </c>
      <c r="AA27" t="n">
        <v>50</v>
      </c>
      <c r="AB27" t="n">
        <v>70</v>
      </c>
      <c r="AC27" t="n">
        <v>80</v>
      </c>
      <c r="AD27" t="n">
        <v>60</v>
      </c>
      <c r="AE27" t="n">
        <v>50</v>
      </c>
      <c r="AF27" t="n">
        <v>80</v>
      </c>
      <c r="AG27" t="n">
        <v>50</v>
      </c>
      <c r="AH27" t="n">
        <v>70</v>
      </c>
      <c r="AI27" t="n">
        <v>80</v>
      </c>
      <c r="AJ27" t="n">
        <v>80</v>
      </c>
      <c r="AK27" t="n">
        <v>60</v>
      </c>
      <c r="AL27" t="n">
        <v>60</v>
      </c>
      <c r="AM27" t="n">
        <v>60</v>
      </c>
      <c r="AN27" t="n">
        <v>70</v>
      </c>
      <c r="AO27" t="n">
        <v>80</v>
      </c>
      <c r="AP27" t="n">
        <v>70</v>
      </c>
      <c r="AQ27" t="inlineStr">
        <is>
          <t>Kullanmıyorum</t>
        </is>
      </c>
      <c r="AR27" t="n">
        <v>70</v>
      </c>
      <c r="AS27" t="n">
        <v>60</v>
      </c>
      <c r="AT27" t="n">
        <v>60</v>
      </c>
      <c r="AU27" t="n">
        <v>80</v>
      </c>
    </row>
    <row r="28">
      <c r="A28" t="n">
        <v>27</v>
      </c>
      <c r="B28" t="inlineStr">
        <is>
          <t>Erkek</t>
        </is>
      </c>
      <c r="C28" t="inlineStr">
        <is>
          <t>25-34</t>
        </is>
      </c>
      <c r="D28" t="inlineStr">
        <is>
          <t>Lisans</t>
        </is>
      </c>
      <c r="E28" t="inlineStr">
        <is>
          <t>Serbest Meslek</t>
        </is>
      </c>
      <c r="F28" t="inlineStr">
        <is>
          <t>Ayda birkaç kez</t>
        </is>
      </c>
      <c r="G28" t="inlineStr">
        <is>
          <t>Mobil tarayıcı</t>
        </is>
      </c>
      <c r="H28" t="n">
        <v>1</v>
      </c>
      <c r="I28" t="n">
        <v>0.3333333333333333</v>
      </c>
      <c r="J28" t="n">
        <v>3</v>
      </c>
      <c r="K28" t="n">
        <v>0.3333333333333333</v>
      </c>
      <c r="L28" t="n">
        <v>0.3333333333333333</v>
      </c>
      <c r="M28" t="n">
        <v>3</v>
      </c>
      <c r="N28" t="n">
        <v>0.3333333333333333</v>
      </c>
      <c r="O28" t="n">
        <v>5</v>
      </c>
      <c r="P28" t="n">
        <v>1</v>
      </c>
      <c r="Q28" t="n">
        <v>0.2</v>
      </c>
      <c r="R28" t="n">
        <v>80</v>
      </c>
      <c r="S28" t="inlineStr">
        <is>
          <t>Kullanmıyorum</t>
        </is>
      </c>
      <c r="T28" t="n">
        <v>80</v>
      </c>
      <c r="U28" t="n">
        <v>60</v>
      </c>
      <c r="V28" t="n">
        <v>80</v>
      </c>
      <c r="W28" t="n">
        <v>70</v>
      </c>
      <c r="X28" t="n">
        <v>80</v>
      </c>
      <c r="Y28" t="n">
        <v>70</v>
      </c>
      <c r="Z28" t="n">
        <v>60</v>
      </c>
      <c r="AA28" t="n">
        <v>40</v>
      </c>
      <c r="AB28" t="n">
        <v>70</v>
      </c>
      <c r="AC28" t="n">
        <v>80</v>
      </c>
      <c r="AD28" t="n">
        <v>70</v>
      </c>
      <c r="AE28" t="n">
        <v>50</v>
      </c>
      <c r="AF28" t="n">
        <v>80</v>
      </c>
      <c r="AG28" t="n">
        <v>50</v>
      </c>
      <c r="AH28" t="n">
        <v>60</v>
      </c>
      <c r="AI28" t="n">
        <v>80</v>
      </c>
      <c r="AJ28" t="n">
        <v>80</v>
      </c>
      <c r="AK28" t="n">
        <v>60</v>
      </c>
      <c r="AL28" t="n">
        <v>80</v>
      </c>
      <c r="AM28" t="n">
        <v>50</v>
      </c>
      <c r="AN28" t="inlineStr">
        <is>
          <t>Kullanmıyorum</t>
        </is>
      </c>
      <c r="AO28" t="n">
        <v>80</v>
      </c>
      <c r="AP28" t="n">
        <v>100</v>
      </c>
      <c r="AQ28" t="n">
        <v>70</v>
      </c>
      <c r="AR28" t="n">
        <v>80</v>
      </c>
      <c r="AS28" t="n">
        <v>70</v>
      </c>
      <c r="AT28" t="n">
        <v>50</v>
      </c>
      <c r="AU28" t="n">
        <v>80</v>
      </c>
    </row>
    <row r="29">
      <c r="A29" t="n">
        <v>28</v>
      </c>
      <c r="B29" t="inlineStr">
        <is>
          <t>Erkek</t>
        </is>
      </c>
      <c r="C29" t="inlineStr">
        <is>
          <t>25-34</t>
        </is>
      </c>
      <c r="D29" t="inlineStr">
        <is>
          <t>Ön Lisans</t>
        </is>
      </c>
      <c r="E29" t="inlineStr">
        <is>
          <t>Diğer</t>
        </is>
      </c>
      <c r="F29" t="inlineStr">
        <is>
          <t>Haftada bir</t>
        </is>
      </c>
      <c r="G29" t="inlineStr">
        <is>
          <t>Mobil uygulama</t>
        </is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0.3333333333333333</v>
      </c>
      <c r="R29" t="n">
        <v>80</v>
      </c>
      <c r="S29" t="n">
        <v>60</v>
      </c>
      <c r="T29" t="n">
        <v>70</v>
      </c>
      <c r="U29" t="n">
        <v>70</v>
      </c>
      <c r="V29" t="n">
        <v>60</v>
      </c>
      <c r="W29" t="n">
        <v>80</v>
      </c>
      <c r="X29" t="n">
        <v>100</v>
      </c>
      <c r="Y29" t="n">
        <v>60</v>
      </c>
      <c r="Z29" t="n">
        <v>90</v>
      </c>
      <c r="AA29" t="n">
        <v>40</v>
      </c>
      <c r="AB29" t="n">
        <v>70</v>
      </c>
      <c r="AC29" t="inlineStr">
        <is>
          <t>Kullanmıyorum</t>
        </is>
      </c>
      <c r="AD29" t="n">
        <v>80</v>
      </c>
      <c r="AE29" t="n">
        <v>60</v>
      </c>
      <c r="AF29" t="n">
        <v>80</v>
      </c>
      <c r="AG29" t="n">
        <v>50</v>
      </c>
      <c r="AH29" t="n">
        <v>80</v>
      </c>
      <c r="AI29" t="n">
        <v>80</v>
      </c>
      <c r="AJ29" t="n">
        <v>70</v>
      </c>
      <c r="AK29" t="n">
        <v>60</v>
      </c>
      <c r="AL29" t="n">
        <v>70</v>
      </c>
      <c r="AM29" t="n">
        <v>60</v>
      </c>
      <c r="AN29" t="n">
        <v>80</v>
      </c>
      <c r="AO29" t="n">
        <v>70</v>
      </c>
      <c r="AP29" t="n">
        <v>90</v>
      </c>
      <c r="AQ29" t="n">
        <v>70</v>
      </c>
      <c r="AR29" t="n">
        <v>70</v>
      </c>
      <c r="AS29" t="n">
        <v>60</v>
      </c>
      <c r="AT29" t="n">
        <v>70</v>
      </c>
      <c r="AU29" t="n">
        <v>90</v>
      </c>
    </row>
    <row r="30">
      <c r="A30" t="n">
        <v>29</v>
      </c>
      <c r="B30" t="inlineStr">
        <is>
          <t>Kadın</t>
        </is>
      </c>
      <c r="C30" t="inlineStr">
        <is>
          <t>25-34</t>
        </is>
      </c>
      <c r="D30" t="inlineStr">
        <is>
          <t>Ön Lisans</t>
        </is>
      </c>
      <c r="E30" t="inlineStr">
        <is>
          <t>Öğrenci</t>
        </is>
      </c>
      <c r="F30" t="inlineStr">
        <is>
          <t>Haftada birkaç kez</t>
        </is>
      </c>
      <c r="G30" t="inlineStr">
        <is>
          <t>Mobil tarayıcı</t>
        </is>
      </c>
      <c r="H30" t="n">
        <v>1</v>
      </c>
      <c r="I30" t="n">
        <v>0.3333333333333333</v>
      </c>
      <c r="J30" t="n">
        <v>3</v>
      </c>
      <c r="K30" t="n">
        <v>0.3333333333333333</v>
      </c>
      <c r="L30" t="n">
        <v>0.3333333333333333</v>
      </c>
      <c r="M30" t="n">
        <v>1</v>
      </c>
      <c r="N30" t="n">
        <v>0.2</v>
      </c>
      <c r="O30" t="n">
        <v>5</v>
      </c>
      <c r="P30" t="n">
        <v>1</v>
      </c>
      <c r="Q30" t="n">
        <v>0.2</v>
      </c>
      <c r="R30" t="n">
        <v>90</v>
      </c>
      <c r="S30" t="n">
        <v>60</v>
      </c>
      <c r="T30" t="inlineStr">
        <is>
          <t>Kullanmıyorum</t>
        </is>
      </c>
      <c r="U30" t="n">
        <v>50</v>
      </c>
      <c r="V30" t="n">
        <v>70</v>
      </c>
      <c r="W30" t="n">
        <v>100</v>
      </c>
      <c r="X30" t="n">
        <v>70</v>
      </c>
      <c r="Y30" t="n">
        <v>60</v>
      </c>
      <c r="Z30" t="n">
        <v>70</v>
      </c>
      <c r="AA30" t="n">
        <v>50</v>
      </c>
      <c r="AB30" t="n">
        <v>80</v>
      </c>
      <c r="AC30" t="n">
        <v>90</v>
      </c>
      <c r="AD30" t="n">
        <v>80</v>
      </c>
      <c r="AE30" t="inlineStr">
        <is>
          <t>Kullanmıyorum</t>
        </is>
      </c>
      <c r="AF30" t="n">
        <v>80</v>
      </c>
      <c r="AG30" t="inlineStr">
        <is>
          <t>Kullanmıyorum</t>
        </is>
      </c>
      <c r="AH30" t="n">
        <v>70</v>
      </c>
      <c r="AI30" t="n">
        <v>70</v>
      </c>
      <c r="AJ30" t="n">
        <v>80</v>
      </c>
      <c r="AK30" t="n">
        <v>50</v>
      </c>
      <c r="AL30" t="n">
        <v>80</v>
      </c>
      <c r="AM30" t="n">
        <v>40</v>
      </c>
      <c r="AN30" t="n">
        <v>80</v>
      </c>
      <c r="AO30" t="n">
        <v>80</v>
      </c>
      <c r="AP30" t="n">
        <v>80</v>
      </c>
      <c r="AQ30" t="n">
        <v>80</v>
      </c>
      <c r="AR30" t="n">
        <v>80</v>
      </c>
      <c r="AS30" t="n">
        <v>50</v>
      </c>
      <c r="AT30" t="n">
        <v>50</v>
      </c>
      <c r="AU30" t="n">
        <v>70</v>
      </c>
    </row>
    <row r="31">
      <c r="A31" t="n">
        <v>30</v>
      </c>
      <c r="B31" t="inlineStr">
        <is>
          <t>Kadın</t>
        </is>
      </c>
      <c r="C31" t="inlineStr">
        <is>
          <t>55+</t>
        </is>
      </c>
      <c r="D31" t="inlineStr">
        <is>
          <t>Lisans</t>
        </is>
      </c>
      <c r="E31" t="inlineStr">
        <is>
          <t>Emekli</t>
        </is>
      </c>
      <c r="F31" t="inlineStr">
        <is>
          <t>Ayda bir</t>
        </is>
      </c>
      <c r="G31" t="inlineStr">
        <is>
          <t>Masaüstü tarayıcı</t>
        </is>
      </c>
      <c r="H31" t="n">
        <v>1</v>
      </c>
      <c r="I31" t="n">
        <v>1</v>
      </c>
      <c r="J31" t="n">
        <v>3</v>
      </c>
      <c r="K31" t="n">
        <v>1</v>
      </c>
      <c r="L31" t="n">
        <v>1</v>
      </c>
      <c r="M31" t="n">
        <v>3</v>
      </c>
      <c r="N31" t="n">
        <v>1</v>
      </c>
      <c r="O31" t="n">
        <v>3</v>
      </c>
      <c r="P31" t="n">
        <v>0.3333333333333333</v>
      </c>
      <c r="Q31" t="n">
        <v>0.2</v>
      </c>
      <c r="R31" t="n">
        <v>70</v>
      </c>
      <c r="S31" t="n">
        <v>50</v>
      </c>
      <c r="T31" t="n">
        <v>70</v>
      </c>
      <c r="U31" t="n">
        <v>50</v>
      </c>
      <c r="V31" t="n">
        <v>90</v>
      </c>
      <c r="W31" t="n">
        <v>70</v>
      </c>
      <c r="X31" t="n">
        <v>90</v>
      </c>
      <c r="Y31" t="n">
        <v>50</v>
      </c>
      <c r="Z31" t="n">
        <v>100</v>
      </c>
      <c r="AA31" t="n">
        <v>40</v>
      </c>
      <c r="AB31" t="n">
        <v>60</v>
      </c>
      <c r="AC31" t="inlineStr">
        <is>
          <t>Kullanmıyorum</t>
        </is>
      </c>
      <c r="AD31" t="inlineStr">
        <is>
          <t>Kullanmıyorum</t>
        </is>
      </c>
      <c r="AE31" t="n">
        <v>80</v>
      </c>
      <c r="AF31" t="n">
        <v>80</v>
      </c>
      <c r="AG31" t="n">
        <v>60</v>
      </c>
      <c r="AH31" t="n">
        <v>70</v>
      </c>
      <c r="AI31" t="n">
        <v>70</v>
      </c>
      <c r="AJ31" t="n">
        <v>70</v>
      </c>
      <c r="AK31" t="inlineStr">
        <is>
          <t>Kullanmıyorum</t>
        </is>
      </c>
      <c r="AL31" t="n">
        <v>80</v>
      </c>
      <c r="AM31" t="n">
        <v>60</v>
      </c>
      <c r="AN31" t="n">
        <v>90</v>
      </c>
      <c r="AO31" t="n">
        <v>90</v>
      </c>
      <c r="AP31" t="n">
        <v>70</v>
      </c>
      <c r="AQ31" t="n">
        <v>70</v>
      </c>
      <c r="AR31" t="n">
        <v>70</v>
      </c>
      <c r="AS31" t="n">
        <v>50</v>
      </c>
      <c r="AT31" t="n">
        <v>60</v>
      </c>
      <c r="AU31" t="n">
        <v>70</v>
      </c>
    </row>
    <row r="32">
      <c r="A32" t="n">
        <v>31</v>
      </c>
      <c r="B32" t="inlineStr">
        <is>
          <t>Erkek</t>
        </is>
      </c>
      <c r="C32" t="inlineStr">
        <is>
          <t>18-24</t>
        </is>
      </c>
      <c r="D32" t="inlineStr">
        <is>
          <t>Lisans</t>
        </is>
      </c>
      <c r="E32" t="inlineStr">
        <is>
          <t>Serbest Meslek</t>
        </is>
      </c>
      <c r="F32" t="inlineStr">
        <is>
          <t>Haftada bir</t>
        </is>
      </c>
      <c r="G32" t="inlineStr">
        <is>
          <t>Tablet</t>
        </is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0.3333333333333333</v>
      </c>
      <c r="O32" t="n">
        <v>1</v>
      </c>
      <c r="P32" t="n">
        <v>0.3333333333333333</v>
      </c>
      <c r="Q32" t="n">
        <v>0.3333333333333333</v>
      </c>
      <c r="R32" t="n">
        <v>80</v>
      </c>
      <c r="S32" t="n">
        <v>80</v>
      </c>
      <c r="T32" t="n">
        <v>80</v>
      </c>
      <c r="U32" t="n">
        <v>50</v>
      </c>
      <c r="V32" t="n">
        <v>70</v>
      </c>
      <c r="W32" t="n">
        <v>80</v>
      </c>
      <c r="X32" t="n">
        <v>80</v>
      </c>
      <c r="Y32" t="n">
        <v>60</v>
      </c>
      <c r="Z32" t="n">
        <v>80</v>
      </c>
      <c r="AA32" t="n">
        <v>50</v>
      </c>
      <c r="AB32" t="n">
        <v>70</v>
      </c>
      <c r="AC32" t="n">
        <v>80</v>
      </c>
      <c r="AD32" t="n">
        <v>90</v>
      </c>
      <c r="AE32" t="n">
        <v>60</v>
      </c>
      <c r="AF32" t="n">
        <v>90</v>
      </c>
      <c r="AG32" t="n">
        <v>40</v>
      </c>
      <c r="AH32" t="n">
        <v>60</v>
      </c>
      <c r="AI32" t="n">
        <v>80</v>
      </c>
      <c r="AJ32" t="n">
        <v>80</v>
      </c>
      <c r="AK32" t="n">
        <v>60</v>
      </c>
      <c r="AL32" t="n">
        <v>90</v>
      </c>
      <c r="AM32" t="n">
        <v>50</v>
      </c>
      <c r="AN32" t="n">
        <v>70</v>
      </c>
      <c r="AO32" t="n">
        <v>80</v>
      </c>
      <c r="AP32" t="n">
        <v>80</v>
      </c>
      <c r="AQ32" t="n">
        <v>60</v>
      </c>
      <c r="AR32" t="n">
        <v>80</v>
      </c>
      <c r="AS32" t="n">
        <v>60</v>
      </c>
      <c r="AT32" t="n">
        <v>60</v>
      </c>
      <c r="AU32" t="n">
        <v>80</v>
      </c>
    </row>
    <row r="33">
      <c r="A33" t="n">
        <v>32</v>
      </c>
      <c r="B33" t="inlineStr">
        <is>
          <t>Kadın</t>
        </is>
      </c>
      <c r="C33" t="inlineStr">
        <is>
          <t>25-34</t>
        </is>
      </c>
      <c r="D33" t="inlineStr">
        <is>
          <t>Lisans</t>
        </is>
      </c>
      <c r="E33" t="inlineStr">
        <is>
          <t>Öğrenci</t>
        </is>
      </c>
      <c r="F33" t="inlineStr">
        <is>
          <t>Ayda birkaç kez</t>
        </is>
      </c>
      <c r="G33" t="inlineStr">
        <is>
          <t>Mobil tarayıcı</t>
        </is>
      </c>
      <c r="H33" t="n">
        <v>1</v>
      </c>
      <c r="I33" t="n">
        <v>1</v>
      </c>
      <c r="J33" t="n">
        <v>0.3333333333333333</v>
      </c>
      <c r="K33" t="n">
        <v>3</v>
      </c>
      <c r="L33" t="n">
        <v>1</v>
      </c>
      <c r="M33" t="n">
        <v>1</v>
      </c>
      <c r="N33" t="n">
        <v>1</v>
      </c>
      <c r="O33" t="n">
        <v>1</v>
      </c>
      <c r="P33" t="n">
        <v>0.3333333333333333</v>
      </c>
      <c r="Q33" t="n">
        <v>1</v>
      </c>
      <c r="R33" t="n">
        <v>70</v>
      </c>
      <c r="S33" t="n">
        <v>50</v>
      </c>
      <c r="T33" t="n">
        <v>80</v>
      </c>
      <c r="U33" t="n">
        <v>50</v>
      </c>
      <c r="V33" t="n">
        <v>70</v>
      </c>
      <c r="W33" t="n">
        <v>90</v>
      </c>
      <c r="X33" t="n">
        <v>80</v>
      </c>
      <c r="Y33" t="n">
        <v>60</v>
      </c>
      <c r="Z33" t="n">
        <v>80</v>
      </c>
      <c r="AA33" t="n">
        <v>50</v>
      </c>
      <c r="AB33" t="n">
        <v>70</v>
      </c>
      <c r="AC33" t="n">
        <v>70</v>
      </c>
      <c r="AD33" t="n">
        <v>70</v>
      </c>
      <c r="AE33" t="n">
        <v>70</v>
      </c>
      <c r="AF33" t="inlineStr">
        <is>
          <t>Kullanmıyorum</t>
        </is>
      </c>
      <c r="AG33" t="n">
        <v>60</v>
      </c>
      <c r="AH33" t="n">
        <v>60</v>
      </c>
      <c r="AI33" t="n">
        <v>80</v>
      </c>
      <c r="AJ33" t="n">
        <v>90</v>
      </c>
      <c r="AK33" t="n">
        <v>60</v>
      </c>
      <c r="AL33" t="n">
        <v>80</v>
      </c>
      <c r="AM33" t="n">
        <v>40</v>
      </c>
      <c r="AN33" t="n">
        <v>70</v>
      </c>
      <c r="AO33" t="n">
        <v>80</v>
      </c>
      <c r="AP33" t="n">
        <v>70</v>
      </c>
      <c r="AQ33" t="n">
        <v>60</v>
      </c>
      <c r="AR33" t="n">
        <v>70</v>
      </c>
      <c r="AS33" t="n">
        <v>60</v>
      </c>
      <c r="AT33" t="n">
        <v>40</v>
      </c>
      <c r="AU33" t="n">
        <v>80</v>
      </c>
    </row>
    <row r="34">
      <c r="A34" t="n">
        <v>33</v>
      </c>
      <c r="B34" t="inlineStr">
        <is>
          <t>Erkek</t>
        </is>
      </c>
      <c r="C34" t="inlineStr">
        <is>
          <t>25-34</t>
        </is>
      </c>
      <c r="D34" t="inlineStr">
        <is>
          <t>Yüksek Lisans</t>
        </is>
      </c>
      <c r="E34" t="inlineStr">
        <is>
          <t>Serbest Meslek</t>
        </is>
      </c>
      <c r="F34" t="inlineStr">
        <is>
          <t>Haftada bir</t>
        </is>
      </c>
      <c r="G34" t="inlineStr">
        <is>
          <t>Mobil uygulama</t>
        </is>
      </c>
      <c r="H34" t="n">
        <v>3</v>
      </c>
      <c r="I34" t="n">
        <v>0.3333333333333333</v>
      </c>
      <c r="J34" t="n">
        <v>1</v>
      </c>
      <c r="K34" t="n">
        <v>3</v>
      </c>
      <c r="L34" t="n">
        <v>0.2</v>
      </c>
      <c r="M34" t="n">
        <v>0.2</v>
      </c>
      <c r="N34" t="n">
        <v>0.2</v>
      </c>
      <c r="O34" t="n">
        <v>3</v>
      </c>
      <c r="P34" t="n">
        <v>1</v>
      </c>
      <c r="Q34" t="n">
        <v>0.3333333333333333</v>
      </c>
      <c r="R34" t="n">
        <v>90</v>
      </c>
      <c r="S34" t="n">
        <v>50</v>
      </c>
      <c r="T34" t="n">
        <v>80</v>
      </c>
      <c r="U34" t="n">
        <v>60</v>
      </c>
      <c r="V34" t="n">
        <v>70</v>
      </c>
      <c r="W34" t="n">
        <v>90</v>
      </c>
      <c r="X34" t="n">
        <v>80</v>
      </c>
      <c r="Y34" t="n">
        <v>60</v>
      </c>
      <c r="Z34" t="n">
        <v>90</v>
      </c>
      <c r="AA34" t="n">
        <v>40</v>
      </c>
      <c r="AB34" t="n">
        <v>80</v>
      </c>
      <c r="AC34" t="n">
        <v>100</v>
      </c>
      <c r="AD34" t="n">
        <v>80</v>
      </c>
      <c r="AE34" t="n">
        <v>40</v>
      </c>
      <c r="AF34" t="n">
        <v>60</v>
      </c>
      <c r="AG34" t="n">
        <v>60</v>
      </c>
      <c r="AH34" t="n">
        <v>70</v>
      </c>
      <c r="AI34" t="n">
        <v>70</v>
      </c>
      <c r="AJ34" t="n">
        <v>80</v>
      </c>
      <c r="AK34" t="n">
        <v>70</v>
      </c>
      <c r="AL34" t="n">
        <v>70</v>
      </c>
      <c r="AM34" t="n">
        <v>50</v>
      </c>
      <c r="AN34" t="n">
        <v>80</v>
      </c>
      <c r="AO34" t="n">
        <v>80</v>
      </c>
      <c r="AP34" t="n">
        <v>80</v>
      </c>
      <c r="AQ34" t="n">
        <v>60</v>
      </c>
      <c r="AR34" t="n">
        <v>80</v>
      </c>
      <c r="AS34" t="n">
        <v>50</v>
      </c>
      <c r="AT34" t="n">
        <v>60</v>
      </c>
      <c r="AU34" t="n">
        <v>80</v>
      </c>
    </row>
    <row r="35">
      <c r="A35" t="n">
        <v>34</v>
      </c>
      <c r="B35" t="inlineStr">
        <is>
          <t>Kadın</t>
        </is>
      </c>
      <c r="C35" t="inlineStr">
        <is>
          <t>55+</t>
        </is>
      </c>
      <c r="D35" t="inlineStr">
        <is>
          <t>Lisans</t>
        </is>
      </c>
      <c r="E35" t="inlineStr">
        <is>
          <t>Öğrenci</t>
        </is>
      </c>
      <c r="F35" t="inlineStr">
        <is>
          <t>Ayda birkaç kez</t>
        </is>
      </c>
      <c r="G35" t="inlineStr">
        <is>
          <t>Mobil uygulama</t>
        </is>
      </c>
      <c r="H35" t="n">
        <v>1</v>
      </c>
      <c r="I35" t="n">
        <v>0.3333333333333333</v>
      </c>
      <c r="J35" t="n">
        <v>1</v>
      </c>
      <c r="K35" t="n">
        <v>0.3333333333333333</v>
      </c>
      <c r="L35" t="n">
        <v>1</v>
      </c>
      <c r="M35" t="n">
        <v>1</v>
      </c>
      <c r="N35" t="n">
        <v>0.3333333333333333</v>
      </c>
      <c r="O35" t="n">
        <v>1</v>
      </c>
      <c r="P35" t="n">
        <v>1</v>
      </c>
      <c r="Q35" t="n">
        <v>0.3333333333333333</v>
      </c>
      <c r="R35" t="n">
        <v>80</v>
      </c>
      <c r="S35" t="n">
        <v>50</v>
      </c>
      <c r="T35" t="n">
        <v>90</v>
      </c>
      <c r="U35" t="n">
        <v>40</v>
      </c>
      <c r="V35" t="n">
        <v>80</v>
      </c>
      <c r="W35" t="n">
        <v>90</v>
      </c>
      <c r="X35" t="n">
        <v>80</v>
      </c>
      <c r="Y35" t="n">
        <v>30</v>
      </c>
      <c r="Z35" t="n">
        <v>80</v>
      </c>
      <c r="AA35" t="n">
        <v>50</v>
      </c>
      <c r="AB35" t="n">
        <v>80</v>
      </c>
      <c r="AC35" t="inlineStr">
        <is>
          <t>Kullanmıyorum</t>
        </is>
      </c>
      <c r="AD35" t="n">
        <v>80</v>
      </c>
      <c r="AE35" t="n">
        <v>50</v>
      </c>
      <c r="AF35" t="n">
        <v>80</v>
      </c>
      <c r="AG35" t="n">
        <v>50</v>
      </c>
      <c r="AH35" t="n">
        <v>60</v>
      </c>
      <c r="AI35" t="n">
        <v>70</v>
      </c>
      <c r="AJ35" t="n">
        <v>80</v>
      </c>
      <c r="AK35" t="n">
        <v>70</v>
      </c>
      <c r="AL35" t="n">
        <v>60</v>
      </c>
      <c r="AM35" t="n">
        <v>50</v>
      </c>
      <c r="AN35" t="n">
        <v>60</v>
      </c>
      <c r="AO35" t="n">
        <v>80</v>
      </c>
      <c r="AP35" t="n">
        <v>80</v>
      </c>
      <c r="AQ35" t="n">
        <v>70</v>
      </c>
      <c r="AR35" t="n">
        <v>80</v>
      </c>
      <c r="AS35" t="n">
        <v>60</v>
      </c>
      <c r="AT35" t="n">
        <v>60</v>
      </c>
      <c r="AU35" t="n">
        <v>70</v>
      </c>
    </row>
    <row r="36">
      <c r="A36" t="n">
        <v>35</v>
      </c>
      <c r="B36" t="inlineStr">
        <is>
          <t>Erkek</t>
        </is>
      </c>
      <c r="C36" t="inlineStr">
        <is>
          <t>25-34</t>
        </is>
      </c>
      <c r="D36" t="inlineStr">
        <is>
          <t>Lisans</t>
        </is>
      </c>
      <c r="E36" t="inlineStr">
        <is>
          <t>Emekli</t>
        </is>
      </c>
      <c r="F36" t="inlineStr">
        <is>
          <t>Ayda birkaç kez</t>
        </is>
      </c>
      <c r="G36" t="inlineStr">
        <is>
          <t>Masaüstü tarayıcı</t>
        </is>
      </c>
      <c r="H36" t="n">
        <v>1</v>
      </c>
      <c r="I36" t="n">
        <v>1</v>
      </c>
      <c r="J36" t="n">
        <v>1</v>
      </c>
      <c r="K36" t="n">
        <v>1</v>
      </c>
      <c r="L36" t="n">
        <v>0.3333333333333333</v>
      </c>
      <c r="M36" t="n">
        <v>1</v>
      </c>
      <c r="N36" t="n">
        <v>0.3333333333333333</v>
      </c>
      <c r="O36" t="n">
        <v>3</v>
      </c>
      <c r="P36" t="n">
        <v>1</v>
      </c>
      <c r="Q36" t="n">
        <v>0.3333333333333333</v>
      </c>
      <c r="R36" t="n">
        <v>60</v>
      </c>
      <c r="S36" t="n">
        <v>70</v>
      </c>
      <c r="T36" t="n">
        <v>80</v>
      </c>
      <c r="U36" t="n">
        <v>50</v>
      </c>
      <c r="V36" t="n">
        <v>70</v>
      </c>
      <c r="W36" t="n">
        <v>80</v>
      </c>
      <c r="X36" t="n">
        <v>80</v>
      </c>
      <c r="Y36" t="n">
        <v>50</v>
      </c>
      <c r="Z36" t="n">
        <v>80</v>
      </c>
      <c r="AA36" t="n">
        <v>60</v>
      </c>
      <c r="AB36" t="n">
        <v>70</v>
      </c>
      <c r="AC36" t="n">
        <v>90</v>
      </c>
      <c r="AD36" t="n">
        <v>80</v>
      </c>
      <c r="AE36" t="n">
        <v>60</v>
      </c>
      <c r="AF36" t="n">
        <v>80</v>
      </c>
      <c r="AG36" t="n">
        <v>60</v>
      </c>
      <c r="AH36" t="n">
        <v>60</v>
      </c>
      <c r="AI36" t="n">
        <v>80</v>
      </c>
      <c r="AJ36" t="n">
        <v>80</v>
      </c>
      <c r="AK36" t="n">
        <v>60</v>
      </c>
      <c r="AL36" t="n">
        <v>80</v>
      </c>
      <c r="AM36" t="n">
        <v>40</v>
      </c>
      <c r="AN36" t="n">
        <v>80</v>
      </c>
      <c r="AO36" t="n">
        <v>80</v>
      </c>
      <c r="AP36" t="n">
        <v>80</v>
      </c>
      <c r="AQ36" t="n">
        <v>70</v>
      </c>
      <c r="AR36" t="n">
        <v>60</v>
      </c>
      <c r="AS36" t="n">
        <v>50</v>
      </c>
      <c r="AT36" t="n">
        <v>60</v>
      </c>
      <c r="AU36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KATILIMCI 01 - AHP ANALİZİ</t>
        </is>
      </c>
    </row>
    <row r="3">
      <c r="A3" s="6" t="inlineStr">
        <is>
          <t>Demografik Bilgiler</t>
        </is>
      </c>
      <c r="B3" s="7" t="n"/>
    </row>
    <row r="4">
      <c r="A4" s="8" t="inlineStr">
        <is>
          <t>Cinsiyet</t>
        </is>
      </c>
      <c r="B4" s="9">
        <f>Anket_Yanitlari!B2</f>
        <v/>
      </c>
    </row>
    <row r="5">
      <c r="A5" s="8" t="inlineStr">
        <is>
          <t>Yaş</t>
        </is>
      </c>
      <c r="B5" s="9">
        <f>Anket_Yanitlari!C2</f>
        <v/>
      </c>
    </row>
    <row r="6">
      <c r="A6" s="8" t="inlineStr">
        <is>
          <t>Eğitim</t>
        </is>
      </c>
      <c r="B6" s="9">
        <f>Anket_Yanitlari!D2</f>
        <v/>
      </c>
    </row>
    <row r="7">
      <c r="A7" s="8" t="inlineStr">
        <is>
          <t>Meslek</t>
        </is>
      </c>
      <c r="B7" s="9">
        <f>Anket_Yanitlari!E2</f>
        <v/>
      </c>
    </row>
    <row r="8">
      <c r="A8" s="8" t="inlineStr">
        <is>
          <t>Alışveriş Sıklığı</t>
        </is>
      </c>
      <c r="B8" s="9">
        <f>Anket_Yanitlari!F2</f>
        <v/>
      </c>
    </row>
    <row r="9">
      <c r="A9" s="8" t="inlineStr">
        <is>
          <t>Cihaz</t>
        </is>
      </c>
      <c r="B9" s="9">
        <f>Anket_Yanitlari!G2</f>
        <v/>
      </c>
    </row>
    <row r="11">
      <c r="A11" s="6" t="inlineStr">
        <is>
          <t>İkili Karşılaştırma Matrisi (A)</t>
        </is>
      </c>
      <c r="B11" s="10" t="n"/>
      <c r="C11" s="10" t="n"/>
      <c r="D11" s="10" t="n"/>
      <c r="E11" s="10" t="n"/>
      <c r="F11" s="7" t="n"/>
    </row>
    <row r="12">
      <c r="B12" s="6" t="inlineStr">
        <is>
          <t>Ödeme</t>
        </is>
      </c>
      <c r="C12" s="6" t="inlineStr">
        <is>
          <t>Kullanıcı Deneyimi</t>
        </is>
      </c>
      <c r="D12" s="6" t="inlineStr">
        <is>
          <t>Kargo</t>
        </is>
      </c>
      <c r="E12" s="6" t="inlineStr">
        <is>
          <t>Müşteri Yorumları</t>
        </is>
      </c>
      <c r="F12" s="6" t="inlineStr">
        <is>
          <t>Fiyatlandırma</t>
        </is>
      </c>
    </row>
    <row r="13">
      <c r="A13" s="6" t="inlineStr">
        <is>
          <t>Ödeme</t>
        </is>
      </c>
      <c r="B13" s="11" t="n">
        <v>1</v>
      </c>
      <c r="C13" s="11">
        <f>Anket_Yanitlari!H2</f>
        <v/>
      </c>
      <c r="D13" s="11">
        <f>Anket_Yanitlari!I2</f>
        <v/>
      </c>
      <c r="E13" s="11">
        <f>Anket_Yanitlari!J2</f>
        <v/>
      </c>
      <c r="F13" s="11">
        <f>Anket_Yanitlari!K2</f>
        <v/>
      </c>
    </row>
    <row r="14">
      <c r="A14" s="6" t="inlineStr">
        <is>
          <t>Kullanıcı Deneyimi</t>
        </is>
      </c>
      <c r="B14" s="11">
        <f>1/C13</f>
        <v/>
      </c>
      <c r="C14" s="11" t="n">
        <v>1</v>
      </c>
      <c r="D14" s="11">
        <f>Anket_Yanitlari!L2</f>
        <v/>
      </c>
      <c r="E14" s="11">
        <f>Anket_Yanitlari!M2</f>
        <v/>
      </c>
      <c r="F14" s="11">
        <f>Anket_Yanitlari!N2</f>
        <v/>
      </c>
    </row>
    <row r="15">
      <c r="A15" s="6" t="inlineStr">
        <is>
          <t>Kargo</t>
        </is>
      </c>
      <c r="B15" s="11">
        <f>1/D13</f>
        <v/>
      </c>
      <c r="C15" s="11">
        <f>1/D14</f>
        <v/>
      </c>
      <c r="D15" s="11" t="n">
        <v>1</v>
      </c>
      <c r="E15" s="11">
        <f>Anket_Yanitlari!O2</f>
        <v/>
      </c>
      <c r="F15" s="11">
        <f>Anket_Yanitlari!P2</f>
        <v/>
      </c>
    </row>
    <row r="16">
      <c r="A16" s="6" t="inlineStr">
        <is>
          <t>Müşteri Yorumları</t>
        </is>
      </c>
      <c r="B16" s="11">
        <f>1/E13</f>
        <v/>
      </c>
      <c r="C16" s="11">
        <f>1/E14</f>
        <v/>
      </c>
      <c r="D16" s="11">
        <f>1/E15</f>
        <v/>
      </c>
      <c r="E16" s="11" t="n">
        <v>1</v>
      </c>
      <c r="F16" s="11">
        <f>Anket_Yanitlari!Q2</f>
        <v/>
      </c>
    </row>
    <row r="17">
      <c r="A17" s="6" t="inlineStr">
        <is>
          <t>Fiyatlandırma</t>
        </is>
      </c>
      <c r="B17" s="11">
        <f>1/F13</f>
        <v/>
      </c>
      <c r="C17" s="11">
        <f>1/F14</f>
        <v/>
      </c>
      <c r="D17" s="11">
        <f>1/F15</f>
        <v/>
      </c>
      <c r="E17" s="11">
        <f>1/F16</f>
        <v/>
      </c>
      <c r="F17" s="11" t="n">
        <v>1</v>
      </c>
    </row>
    <row r="18">
      <c r="A18" s="6" t="inlineStr">
        <is>
          <t>Sütun Toplamı</t>
        </is>
      </c>
      <c r="B18" s="11">
        <f>SUM(B13:B17)</f>
        <v/>
      </c>
      <c r="C18" s="11">
        <f>SUM(C13:C17)</f>
        <v/>
      </c>
      <c r="D18" s="11">
        <f>SUM(D13:D17)</f>
        <v/>
      </c>
      <c r="E18" s="11">
        <f>SUM(E13:E17)</f>
        <v/>
      </c>
      <c r="F18" s="11">
        <f>SUM(F13:F17)</f>
        <v/>
      </c>
    </row>
    <row r="20">
      <c r="A20" s="6" t="inlineStr">
        <is>
          <t>Normalize Matris (N)</t>
        </is>
      </c>
      <c r="B20" s="10" t="n"/>
      <c r="C20" s="10" t="n"/>
      <c r="D20" s="10" t="n"/>
      <c r="E20" s="10" t="n"/>
      <c r="F20" s="7" t="n"/>
    </row>
    <row r="21">
      <c r="B21" s="6" t="inlineStr">
        <is>
          <t>Ödeme</t>
        </is>
      </c>
      <c r="C21" s="6" t="inlineStr">
        <is>
          <t>Kullanıcı Deneyimi</t>
        </is>
      </c>
      <c r="D21" s="6" t="inlineStr">
        <is>
          <t>Kargo</t>
        </is>
      </c>
      <c r="E21" s="6" t="inlineStr">
        <is>
          <t>Müşteri Yorumları</t>
        </is>
      </c>
      <c r="F21" s="6" t="inlineStr">
        <is>
          <t>Fiyatlandırma</t>
        </is>
      </c>
    </row>
    <row r="22">
      <c r="A22" s="6" t="inlineStr">
        <is>
          <t>Ödeme</t>
        </is>
      </c>
      <c r="B22" s="11">
        <f>B13/B18</f>
        <v/>
      </c>
      <c r="C22" s="11">
        <f>C13/C18</f>
        <v/>
      </c>
      <c r="D22" s="11">
        <f>D13/D18</f>
        <v/>
      </c>
      <c r="E22" s="11">
        <f>E13/E18</f>
        <v/>
      </c>
      <c r="F22" s="11">
        <f>F13/F18</f>
        <v/>
      </c>
    </row>
    <row r="23">
      <c r="A23" s="6" t="inlineStr">
        <is>
          <t>Kullanıcı Deneyimi</t>
        </is>
      </c>
      <c r="B23" s="11">
        <f>B14/B18</f>
        <v/>
      </c>
      <c r="C23" s="11">
        <f>C14/C18</f>
        <v/>
      </c>
      <c r="D23" s="11">
        <f>D14/D18</f>
        <v/>
      </c>
      <c r="E23" s="11">
        <f>E14/E18</f>
        <v/>
      </c>
      <c r="F23" s="11">
        <f>F14/F18</f>
        <v/>
      </c>
    </row>
    <row r="24">
      <c r="A24" s="6" t="inlineStr">
        <is>
          <t>Kargo</t>
        </is>
      </c>
      <c r="B24" s="11">
        <f>B15/B18</f>
        <v/>
      </c>
      <c r="C24" s="11">
        <f>C15/C18</f>
        <v/>
      </c>
      <c r="D24" s="11">
        <f>D15/D18</f>
        <v/>
      </c>
      <c r="E24" s="11">
        <f>E15/E18</f>
        <v/>
      </c>
      <c r="F24" s="11">
        <f>F15/F18</f>
        <v/>
      </c>
    </row>
    <row r="25">
      <c r="A25" s="6" t="inlineStr">
        <is>
          <t>Müşteri Yorumları</t>
        </is>
      </c>
      <c r="B25" s="11">
        <f>B16/B18</f>
        <v/>
      </c>
      <c r="C25" s="11">
        <f>C16/C18</f>
        <v/>
      </c>
      <c r="D25" s="11">
        <f>D16/D18</f>
        <v/>
      </c>
      <c r="E25" s="11">
        <f>E16/E18</f>
        <v/>
      </c>
      <c r="F25" s="11">
        <f>F16/F18</f>
        <v/>
      </c>
    </row>
    <row r="26">
      <c r="A26" s="6" t="inlineStr">
        <is>
          <t>Fiyatlandırma</t>
        </is>
      </c>
      <c r="B26" s="11">
        <f>B17/B18</f>
        <v/>
      </c>
      <c r="C26" s="11">
        <f>C17/C18</f>
        <v/>
      </c>
      <c r="D26" s="11">
        <f>D17/D18</f>
        <v/>
      </c>
      <c r="E26" s="11">
        <f>E17/E18</f>
        <v/>
      </c>
      <c r="F26" s="11">
        <f>F17/F18</f>
        <v/>
      </c>
    </row>
    <row r="28">
      <c r="A28" s="6" t="inlineStr">
        <is>
          <t>Kriter</t>
        </is>
      </c>
      <c r="B28" s="6" t="inlineStr">
        <is>
          <t>ÖZV (w)</t>
        </is>
      </c>
      <c r="C28" s="6" t="inlineStr">
        <is>
          <t>A·w</t>
        </is>
      </c>
      <c r="D28" s="6" t="inlineStr">
        <is>
          <t>A·w / w</t>
        </is>
      </c>
    </row>
    <row r="29">
      <c r="A29" s="6" t="inlineStr">
        <is>
          <t>Ödeme</t>
        </is>
      </c>
      <c r="B29" s="11">
        <f>AVERAGE(B22:F22)</f>
        <v/>
      </c>
      <c r="C29" s="11">
        <f>B13*$B$29+C13*$B$30+D13*$B$31+E13*$B$32+F13*$B$33</f>
        <v/>
      </c>
      <c r="D29" s="11">
        <f>C29/B29</f>
        <v/>
      </c>
    </row>
    <row r="30">
      <c r="A30" s="6" t="inlineStr">
        <is>
          <t>Kullanıcı Deneyimi</t>
        </is>
      </c>
      <c r="B30" s="11">
        <f>AVERAGE(B23:F23)</f>
        <v/>
      </c>
      <c r="C30" s="11">
        <f>B14*$B$29+C14*$B$30+D14*$B$31+E14*$B$32+F14*$B$33</f>
        <v/>
      </c>
      <c r="D30" s="11">
        <f>C30/B30</f>
        <v/>
      </c>
    </row>
    <row r="31">
      <c r="A31" s="6" t="inlineStr">
        <is>
          <t>Kargo</t>
        </is>
      </c>
      <c r="B31" s="11">
        <f>AVERAGE(B24:F24)</f>
        <v/>
      </c>
      <c r="C31" s="11">
        <f>B15*$B$29+C15*$B$30+D15*$B$31+E15*$B$32+F15*$B$33</f>
        <v/>
      </c>
      <c r="D31" s="11">
        <f>C31/B31</f>
        <v/>
      </c>
    </row>
    <row r="32">
      <c r="A32" s="6" t="inlineStr">
        <is>
          <t>Müşteri Yorumları</t>
        </is>
      </c>
      <c r="B32" s="11">
        <f>AVERAGE(B25:F25)</f>
        <v/>
      </c>
      <c r="C32" s="11">
        <f>B16*$B$29+C16*$B$30+D16*$B$31+E16*$B$32+F16*$B$33</f>
        <v/>
      </c>
      <c r="D32" s="11">
        <f>C32/B32</f>
        <v/>
      </c>
    </row>
    <row r="33">
      <c r="A33" s="6" t="inlineStr">
        <is>
          <t>Fiyatlandırma</t>
        </is>
      </c>
      <c r="B33" s="11">
        <f>AVERAGE(B26:F26)</f>
        <v/>
      </c>
      <c r="C33" s="11">
        <f>B17*$B$29+C17*$B$30+D17*$B$31+E17*$B$32+F17*$B$33</f>
        <v/>
      </c>
      <c r="D33" s="11">
        <f>C33/B33</f>
        <v/>
      </c>
    </row>
    <row r="34">
      <c r="A34" s="6" t="inlineStr">
        <is>
          <t>Toplam</t>
        </is>
      </c>
      <c r="B34" s="11">
        <f>SUM(B29:B33)</f>
        <v/>
      </c>
    </row>
    <row r="36">
      <c r="A36" s="6" t="inlineStr">
        <is>
          <t>λ_max (ENBÖZD)</t>
        </is>
      </c>
      <c r="B36" s="11">
        <f>AVERAGE(D29:D33)</f>
        <v/>
      </c>
    </row>
    <row r="37">
      <c r="A37" s="6" t="inlineStr">
        <is>
          <t>n (kriter sayısı)</t>
        </is>
      </c>
      <c r="B37" s="9" t="n">
        <v>5</v>
      </c>
    </row>
    <row r="38">
      <c r="A38" s="6" t="inlineStr">
        <is>
          <t>CI = (λ_max - n) / (n - 1)</t>
        </is>
      </c>
      <c r="B38" s="11">
        <f>(B36-B37)/(B37-1)</f>
        <v/>
      </c>
    </row>
    <row r="39">
      <c r="A39" s="6" t="inlineStr">
        <is>
          <t>RI (n=5)</t>
        </is>
      </c>
      <c r="B39" s="11" t="n">
        <v>1.11</v>
      </c>
    </row>
    <row r="40">
      <c r="A40" s="6" t="inlineStr">
        <is>
          <t>CR = CI / RI</t>
        </is>
      </c>
      <c r="B40" s="11">
        <f>B38/B39</f>
        <v/>
      </c>
    </row>
    <row r="41">
      <c r="A41" s="6" t="inlineStr">
        <is>
          <t>Tutarlılık Eşiği</t>
        </is>
      </c>
      <c r="B41" s="9" t="n">
        <v>0.1</v>
      </c>
    </row>
    <row r="42">
      <c r="A42" s="6" t="inlineStr">
        <is>
          <t>Durum</t>
        </is>
      </c>
      <c r="B42" s="12">
        <f>IF(B40&lt;=B41,"Tutarlı","Tutarsız")</f>
        <v/>
      </c>
    </row>
  </sheetData>
  <mergeCells count="4">
    <mergeCell ref="A20:F20"/>
    <mergeCell ref="A11:F11"/>
    <mergeCell ref="A3:B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KATILIMCI 02 - AHP ANALİZİ</t>
        </is>
      </c>
    </row>
    <row r="3">
      <c r="A3" s="6" t="inlineStr">
        <is>
          <t>Demografik Bilgiler</t>
        </is>
      </c>
      <c r="B3" s="7" t="n"/>
    </row>
    <row r="4">
      <c r="A4" s="8" t="inlineStr">
        <is>
          <t>Cinsiyet</t>
        </is>
      </c>
      <c r="B4" s="9">
        <f>Anket_Yanitlari!B3</f>
        <v/>
      </c>
    </row>
    <row r="5">
      <c r="A5" s="8" t="inlineStr">
        <is>
          <t>Yaş</t>
        </is>
      </c>
      <c r="B5" s="9">
        <f>Anket_Yanitlari!C3</f>
        <v/>
      </c>
    </row>
    <row r="6">
      <c r="A6" s="8" t="inlineStr">
        <is>
          <t>Eğitim</t>
        </is>
      </c>
      <c r="B6" s="9">
        <f>Anket_Yanitlari!D3</f>
        <v/>
      </c>
    </row>
    <row r="7">
      <c r="A7" s="8" t="inlineStr">
        <is>
          <t>Meslek</t>
        </is>
      </c>
      <c r="B7" s="9">
        <f>Anket_Yanitlari!E3</f>
        <v/>
      </c>
    </row>
    <row r="8">
      <c r="A8" s="8" t="inlineStr">
        <is>
          <t>Alışveriş Sıklığı</t>
        </is>
      </c>
      <c r="B8" s="9">
        <f>Anket_Yanitlari!F3</f>
        <v/>
      </c>
    </row>
    <row r="9">
      <c r="A9" s="8" t="inlineStr">
        <is>
          <t>Cihaz</t>
        </is>
      </c>
      <c r="B9" s="9">
        <f>Anket_Yanitlari!G3</f>
        <v/>
      </c>
    </row>
    <row r="11">
      <c r="A11" s="6" t="inlineStr">
        <is>
          <t>İkili Karşılaştırma Matrisi (A)</t>
        </is>
      </c>
      <c r="B11" s="10" t="n"/>
      <c r="C11" s="10" t="n"/>
      <c r="D11" s="10" t="n"/>
      <c r="E11" s="10" t="n"/>
      <c r="F11" s="7" t="n"/>
    </row>
    <row r="12">
      <c r="B12" s="6" t="inlineStr">
        <is>
          <t>Ödeme</t>
        </is>
      </c>
      <c r="C12" s="6" t="inlineStr">
        <is>
          <t>Kullanıcı Deneyimi</t>
        </is>
      </c>
      <c r="D12" s="6" t="inlineStr">
        <is>
          <t>Kargo</t>
        </is>
      </c>
      <c r="E12" s="6" t="inlineStr">
        <is>
          <t>Müşteri Yorumları</t>
        </is>
      </c>
      <c r="F12" s="6" t="inlineStr">
        <is>
          <t>Fiyatlandırma</t>
        </is>
      </c>
    </row>
    <row r="13">
      <c r="A13" s="6" t="inlineStr">
        <is>
          <t>Ödeme</t>
        </is>
      </c>
      <c r="B13" s="11" t="n">
        <v>1</v>
      </c>
      <c r="C13" s="11">
        <f>Anket_Yanitlari!H3</f>
        <v/>
      </c>
      <c r="D13" s="11">
        <f>Anket_Yanitlari!I3</f>
        <v/>
      </c>
      <c r="E13" s="11">
        <f>Anket_Yanitlari!J3</f>
        <v/>
      </c>
      <c r="F13" s="11">
        <f>Anket_Yanitlari!K3</f>
        <v/>
      </c>
    </row>
    <row r="14">
      <c r="A14" s="6" t="inlineStr">
        <is>
          <t>Kullanıcı Deneyimi</t>
        </is>
      </c>
      <c r="B14" s="11">
        <f>1/C13</f>
        <v/>
      </c>
      <c r="C14" s="11" t="n">
        <v>1</v>
      </c>
      <c r="D14" s="11">
        <f>Anket_Yanitlari!L3</f>
        <v/>
      </c>
      <c r="E14" s="11">
        <f>Anket_Yanitlari!M3</f>
        <v/>
      </c>
      <c r="F14" s="11">
        <f>Anket_Yanitlari!N3</f>
        <v/>
      </c>
    </row>
    <row r="15">
      <c r="A15" s="6" t="inlineStr">
        <is>
          <t>Kargo</t>
        </is>
      </c>
      <c r="B15" s="11">
        <f>1/D13</f>
        <v/>
      </c>
      <c r="C15" s="11">
        <f>1/D14</f>
        <v/>
      </c>
      <c r="D15" s="11" t="n">
        <v>1</v>
      </c>
      <c r="E15" s="11">
        <f>Anket_Yanitlari!O3</f>
        <v/>
      </c>
      <c r="F15" s="11">
        <f>Anket_Yanitlari!P3</f>
        <v/>
      </c>
    </row>
    <row r="16">
      <c r="A16" s="6" t="inlineStr">
        <is>
          <t>Müşteri Yorumları</t>
        </is>
      </c>
      <c r="B16" s="11">
        <f>1/E13</f>
        <v/>
      </c>
      <c r="C16" s="11">
        <f>1/E14</f>
        <v/>
      </c>
      <c r="D16" s="11">
        <f>1/E15</f>
        <v/>
      </c>
      <c r="E16" s="11" t="n">
        <v>1</v>
      </c>
      <c r="F16" s="11">
        <f>Anket_Yanitlari!Q3</f>
        <v/>
      </c>
    </row>
    <row r="17">
      <c r="A17" s="6" t="inlineStr">
        <is>
          <t>Fiyatlandırma</t>
        </is>
      </c>
      <c r="B17" s="11">
        <f>1/F13</f>
        <v/>
      </c>
      <c r="C17" s="11">
        <f>1/F14</f>
        <v/>
      </c>
      <c r="D17" s="11">
        <f>1/F15</f>
        <v/>
      </c>
      <c r="E17" s="11">
        <f>1/F16</f>
        <v/>
      </c>
      <c r="F17" s="11" t="n">
        <v>1</v>
      </c>
    </row>
    <row r="18">
      <c r="A18" s="6" t="inlineStr">
        <is>
          <t>Sütun Toplamı</t>
        </is>
      </c>
      <c r="B18" s="11">
        <f>SUM(B13:B17)</f>
        <v/>
      </c>
      <c r="C18" s="11">
        <f>SUM(C13:C17)</f>
        <v/>
      </c>
      <c r="D18" s="11">
        <f>SUM(D13:D17)</f>
        <v/>
      </c>
      <c r="E18" s="11">
        <f>SUM(E13:E17)</f>
        <v/>
      </c>
      <c r="F18" s="11">
        <f>SUM(F13:F17)</f>
        <v/>
      </c>
    </row>
    <row r="20">
      <c r="A20" s="6" t="inlineStr">
        <is>
          <t>Normalize Matris (N)</t>
        </is>
      </c>
      <c r="B20" s="10" t="n"/>
      <c r="C20" s="10" t="n"/>
      <c r="D20" s="10" t="n"/>
      <c r="E20" s="10" t="n"/>
      <c r="F20" s="7" t="n"/>
    </row>
    <row r="21">
      <c r="B21" s="6" t="inlineStr">
        <is>
          <t>Ödeme</t>
        </is>
      </c>
      <c r="C21" s="6" t="inlineStr">
        <is>
          <t>Kullanıcı Deneyimi</t>
        </is>
      </c>
      <c r="D21" s="6" t="inlineStr">
        <is>
          <t>Kargo</t>
        </is>
      </c>
      <c r="E21" s="6" t="inlineStr">
        <is>
          <t>Müşteri Yorumları</t>
        </is>
      </c>
      <c r="F21" s="6" t="inlineStr">
        <is>
          <t>Fiyatlandırma</t>
        </is>
      </c>
    </row>
    <row r="22">
      <c r="A22" s="6" t="inlineStr">
        <is>
          <t>Ödeme</t>
        </is>
      </c>
      <c r="B22" s="11">
        <f>B13/B18</f>
        <v/>
      </c>
      <c r="C22" s="11">
        <f>C13/C18</f>
        <v/>
      </c>
      <c r="D22" s="11">
        <f>D13/D18</f>
        <v/>
      </c>
      <c r="E22" s="11">
        <f>E13/E18</f>
        <v/>
      </c>
      <c r="F22" s="11">
        <f>F13/F18</f>
        <v/>
      </c>
    </row>
    <row r="23">
      <c r="A23" s="6" t="inlineStr">
        <is>
          <t>Kullanıcı Deneyimi</t>
        </is>
      </c>
      <c r="B23" s="11">
        <f>B14/B18</f>
        <v/>
      </c>
      <c r="C23" s="11">
        <f>C14/C18</f>
        <v/>
      </c>
      <c r="D23" s="11">
        <f>D14/D18</f>
        <v/>
      </c>
      <c r="E23" s="11">
        <f>E14/E18</f>
        <v/>
      </c>
      <c r="F23" s="11">
        <f>F14/F18</f>
        <v/>
      </c>
    </row>
    <row r="24">
      <c r="A24" s="6" t="inlineStr">
        <is>
          <t>Kargo</t>
        </is>
      </c>
      <c r="B24" s="11">
        <f>B15/B18</f>
        <v/>
      </c>
      <c r="C24" s="11">
        <f>C15/C18</f>
        <v/>
      </c>
      <c r="D24" s="11">
        <f>D15/D18</f>
        <v/>
      </c>
      <c r="E24" s="11">
        <f>E15/E18</f>
        <v/>
      </c>
      <c r="F24" s="11">
        <f>F15/F18</f>
        <v/>
      </c>
    </row>
    <row r="25">
      <c r="A25" s="6" t="inlineStr">
        <is>
          <t>Müşteri Yorumları</t>
        </is>
      </c>
      <c r="B25" s="11">
        <f>B16/B18</f>
        <v/>
      </c>
      <c r="C25" s="11">
        <f>C16/C18</f>
        <v/>
      </c>
      <c r="D25" s="11">
        <f>D16/D18</f>
        <v/>
      </c>
      <c r="E25" s="11">
        <f>E16/E18</f>
        <v/>
      </c>
      <c r="F25" s="11">
        <f>F16/F18</f>
        <v/>
      </c>
    </row>
    <row r="26">
      <c r="A26" s="6" t="inlineStr">
        <is>
          <t>Fiyatlandırma</t>
        </is>
      </c>
      <c r="B26" s="11">
        <f>B17/B18</f>
        <v/>
      </c>
      <c r="C26" s="11">
        <f>C17/C18</f>
        <v/>
      </c>
      <c r="D26" s="11">
        <f>D17/D18</f>
        <v/>
      </c>
      <c r="E26" s="11">
        <f>E17/E18</f>
        <v/>
      </c>
      <c r="F26" s="11">
        <f>F17/F18</f>
        <v/>
      </c>
    </row>
    <row r="28">
      <c r="A28" s="6" t="inlineStr">
        <is>
          <t>Kriter</t>
        </is>
      </c>
      <c r="B28" s="6" t="inlineStr">
        <is>
          <t>ÖZV (w)</t>
        </is>
      </c>
      <c r="C28" s="6" t="inlineStr">
        <is>
          <t>A·w</t>
        </is>
      </c>
      <c r="D28" s="6" t="inlineStr">
        <is>
          <t>A·w / w</t>
        </is>
      </c>
    </row>
    <row r="29">
      <c r="A29" s="6" t="inlineStr">
        <is>
          <t>Ödeme</t>
        </is>
      </c>
      <c r="B29" s="11">
        <f>AVERAGE(B22:F22)</f>
        <v/>
      </c>
      <c r="C29" s="11">
        <f>B13*$B$29+C13*$B$30+D13*$B$31+E13*$B$32+F13*$B$33</f>
        <v/>
      </c>
      <c r="D29" s="11">
        <f>C29/B29</f>
        <v/>
      </c>
    </row>
    <row r="30">
      <c r="A30" s="6" t="inlineStr">
        <is>
          <t>Kullanıcı Deneyimi</t>
        </is>
      </c>
      <c r="B30" s="11">
        <f>AVERAGE(B23:F23)</f>
        <v/>
      </c>
      <c r="C30" s="11">
        <f>B14*$B$29+C14*$B$30+D14*$B$31+E14*$B$32+F14*$B$33</f>
        <v/>
      </c>
      <c r="D30" s="11">
        <f>C30/B30</f>
        <v/>
      </c>
    </row>
    <row r="31">
      <c r="A31" s="6" t="inlineStr">
        <is>
          <t>Kargo</t>
        </is>
      </c>
      <c r="B31" s="11">
        <f>AVERAGE(B24:F24)</f>
        <v/>
      </c>
      <c r="C31" s="11">
        <f>B15*$B$29+C15*$B$30+D15*$B$31+E15*$B$32+F15*$B$33</f>
        <v/>
      </c>
      <c r="D31" s="11">
        <f>C31/B31</f>
        <v/>
      </c>
    </row>
    <row r="32">
      <c r="A32" s="6" t="inlineStr">
        <is>
          <t>Müşteri Yorumları</t>
        </is>
      </c>
      <c r="B32" s="11">
        <f>AVERAGE(B25:F25)</f>
        <v/>
      </c>
      <c r="C32" s="11">
        <f>B16*$B$29+C16*$B$30+D16*$B$31+E16*$B$32+F16*$B$33</f>
        <v/>
      </c>
      <c r="D32" s="11">
        <f>C32/B32</f>
        <v/>
      </c>
    </row>
    <row r="33">
      <c r="A33" s="6" t="inlineStr">
        <is>
          <t>Fiyatlandırma</t>
        </is>
      </c>
      <c r="B33" s="11">
        <f>AVERAGE(B26:F26)</f>
        <v/>
      </c>
      <c r="C33" s="11">
        <f>B17*$B$29+C17*$B$30+D17*$B$31+E17*$B$32+F17*$B$33</f>
        <v/>
      </c>
      <c r="D33" s="11">
        <f>C33/B33</f>
        <v/>
      </c>
    </row>
    <row r="34">
      <c r="A34" s="6" t="inlineStr">
        <is>
          <t>Toplam</t>
        </is>
      </c>
      <c r="B34" s="11">
        <f>SUM(B29:B33)</f>
        <v/>
      </c>
    </row>
    <row r="36">
      <c r="A36" s="6" t="inlineStr">
        <is>
          <t>λ_max (ENBÖZD)</t>
        </is>
      </c>
      <c r="B36" s="11">
        <f>AVERAGE(D29:D33)</f>
        <v/>
      </c>
    </row>
    <row r="37">
      <c r="A37" s="6" t="inlineStr">
        <is>
          <t>n (kriter sayısı)</t>
        </is>
      </c>
      <c r="B37" s="9" t="n">
        <v>5</v>
      </c>
    </row>
    <row r="38">
      <c r="A38" s="6" t="inlineStr">
        <is>
          <t>CI = (λ_max - n) / (n - 1)</t>
        </is>
      </c>
      <c r="B38" s="11">
        <f>(B36-B37)/(B37-1)</f>
        <v/>
      </c>
    </row>
    <row r="39">
      <c r="A39" s="6" t="inlineStr">
        <is>
          <t>RI (n=5)</t>
        </is>
      </c>
      <c r="B39" s="11" t="n">
        <v>1.11</v>
      </c>
    </row>
    <row r="40">
      <c r="A40" s="6" t="inlineStr">
        <is>
          <t>CR = CI / RI</t>
        </is>
      </c>
      <c r="B40" s="11">
        <f>B38/B39</f>
        <v/>
      </c>
    </row>
    <row r="41">
      <c r="A41" s="6" t="inlineStr">
        <is>
          <t>Tutarlılık Eşiği</t>
        </is>
      </c>
      <c r="B41" s="9" t="n">
        <v>0.1</v>
      </c>
    </row>
    <row r="42">
      <c r="A42" s="6" t="inlineStr">
        <is>
          <t>Durum</t>
        </is>
      </c>
      <c r="B42" s="12">
        <f>IF(B40&lt;=B41,"Tutarlı","Tutarsız")</f>
        <v/>
      </c>
    </row>
  </sheetData>
  <mergeCells count="4">
    <mergeCell ref="A20:F20"/>
    <mergeCell ref="A11:F11"/>
    <mergeCell ref="A3:B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KATILIMCI 03 - AHP ANALİZİ</t>
        </is>
      </c>
    </row>
    <row r="3">
      <c r="A3" s="6" t="inlineStr">
        <is>
          <t>Demografik Bilgiler</t>
        </is>
      </c>
      <c r="B3" s="7" t="n"/>
    </row>
    <row r="4">
      <c r="A4" s="8" t="inlineStr">
        <is>
          <t>Cinsiyet</t>
        </is>
      </c>
      <c r="B4" s="9">
        <f>Anket_Yanitlari!B4</f>
        <v/>
      </c>
    </row>
    <row r="5">
      <c r="A5" s="8" t="inlineStr">
        <is>
          <t>Yaş</t>
        </is>
      </c>
      <c r="B5" s="9">
        <f>Anket_Yanitlari!C4</f>
        <v/>
      </c>
    </row>
    <row r="6">
      <c r="A6" s="8" t="inlineStr">
        <is>
          <t>Eğitim</t>
        </is>
      </c>
      <c r="B6" s="9">
        <f>Anket_Yanitlari!D4</f>
        <v/>
      </c>
    </row>
    <row r="7">
      <c r="A7" s="8" t="inlineStr">
        <is>
          <t>Meslek</t>
        </is>
      </c>
      <c r="B7" s="9">
        <f>Anket_Yanitlari!E4</f>
        <v/>
      </c>
    </row>
    <row r="8">
      <c r="A8" s="8" t="inlineStr">
        <is>
          <t>Alışveriş Sıklığı</t>
        </is>
      </c>
      <c r="B8" s="9">
        <f>Anket_Yanitlari!F4</f>
        <v/>
      </c>
    </row>
    <row r="9">
      <c r="A9" s="8" t="inlineStr">
        <is>
          <t>Cihaz</t>
        </is>
      </c>
      <c r="B9" s="9">
        <f>Anket_Yanitlari!G4</f>
        <v/>
      </c>
    </row>
    <row r="11">
      <c r="A11" s="6" t="inlineStr">
        <is>
          <t>İkili Karşılaştırma Matrisi (A)</t>
        </is>
      </c>
      <c r="B11" s="10" t="n"/>
      <c r="C11" s="10" t="n"/>
      <c r="D11" s="10" t="n"/>
      <c r="E11" s="10" t="n"/>
      <c r="F11" s="7" t="n"/>
    </row>
    <row r="12">
      <c r="B12" s="6" t="inlineStr">
        <is>
          <t>Ödeme</t>
        </is>
      </c>
      <c r="C12" s="6" t="inlineStr">
        <is>
          <t>Kullanıcı Deneyimi</t>
        </is>
      </c>
      <c r="D12" s="6" t="inlineStr">
        <is>
          <t>Kargo</t>
        </is>
      </c>
      <c r="E12" s="6" t="inlineStr">
        <is>
          <t>Müşteri Yorumları</t>
        </is>
      </c>
      <c r="F12" s="6" t="inlineStr">
        <is>
          <t>Fiyatlandırma</t>
        </is>
      </c>
    </row>
    <row r="13">
      <c r="A13" s="6" t="inlineStr">
        <is>
          <t>Ödeme</t>
        </is>
      </c>
      <c r="B13" s="11" t="n">
        <v>1</v>
      </c>
      <c r="C13" s="11">
        <f>Anket_Yanitlari!H4</f>
        <v/>
      </c>
      <c r="D13" s="11">
        <f>Anket_Yanitlari!I4</f>
        <v/>
      </c>
      <c r="E13" s="11">
        <f>Anket_Yanitlari!J4</f>
        <v/>
      </c>
      <c r="F13" s="11">
        <f>Anket_Yanitlari!K4</f>
        <v/>
      </c>
    </row>
    <row r="14">
      <c r="A14" s="6" t="inlineStr">
        <is>
          <t>Kullanıcı Deneyimi</t>
        </is>
      </c>
      <c r="B14" s="11">
        <f>1/C13</f>
        <v/>
      </c>
      <c r="C14" s="11" t="n">
        <v>1</v>
      </c>
      <c r="D14" s="11">
        <f>Anket_Yanitlari!L4</f>
        <v/>
      </c>
      <c r="E14" s="11">
        <f>Anket_Yanitlari!M4</f>
        <v/>
      </c>
      <c r="F14" s="11">
        <f>Anket_Yanitlari!N4</f>
        <v/>
      </c>
    </row>
    <row r="15">
      <c r="A15" s="6" t="inlineStr">
        <is>
          <t>Kargo</t>
        </is>
      </c>
      <c r="B15" s="11">
        <f>1/D13</f>
        <v/>
      </c>
      <c r="C15" s="11">
        <f>1/D14</f>
        <v/>
      </c>
      <c r="D15" s="11" t="n">
        <v>1</v>
      </c>
      <c r="E15" s="11">
        <f>Anket_Yanitlari!O4</f>
        <v/>
      </c>
      <c r="F15" s="11">
        <f>Anket_Yanitlari!P4</f>
        <v/>
      </c>
    </row>
    <row r="16">
      <c r="A16" s="6" t="inlineStr">
        <is>
          <t>Müşteri Yorumları</t>
        </is>
      </c>
      <c r="B16" s="11">
        <f>1/E13</f>
        <v/>
      </c>
      <c r="C16" s="11">
        <f>1/E14</f>
        <v/>
      </c>
      <c r="D16" s="11">
        <f>1/E15</f>
        <v/>
      </c>
      <c r="E16" s="11" t="n">
        <v>1</v>
      </c>
      <c r="F16" s="11">
        <f>Anket_Yanitlari!Q4</f>
        <v/>
      </c>
    </row>
    <row r="17">
      <c r="A17" s="6" t="inlineStr">
        <is>
          <t>Fiyatlandırma</t>
        </is>
      </c>
      <c r="B17" s="11">
        <f>1/F13</f>
        <v/>
      </c>
      <c r="C17" s="11">
        <f>1/F14</f>
        <v/>
      </c>
      <c r="D17" s="11">
        <f>1/F15</f>
        <v/>
      </c>
      <c r="E17" s="11">
        <f>1/F16</f>
        <v/>
      </c>
      <c r="F17" s="11" t="n">
        <v>1</v>
      </c>
    </row>
    <row r="18">
      <c r="A18" s="6" t="inlineStr">
        <is>
          <t>Sütun Toplamı</t>
        </is>
      </c>
      <c r="B18" s="11">
        <f>SUM(B13:B17)</f>
        <v/>
      </c>
      <c r="C18" s="11">
        <f>SUM(C13:C17)</f>
        <v/>
      </c>
      <c r="D18" s="11">
        <f>SUM(D13:D17)</f>
        <v/>
      </c>
      <c r="E18" s="11">
        <f>SUM(E13:E17)</f>
        <v/>
      </c>
      <c r="F18" s="11">
        <f>SUM(F13:F17)</f>
        <v/>
      </c>
    </row>
    <row r="20">
      <c r="A20" s="6" t="inlineStr">
        <is>
          <t>Normalize Matris (N)</t>
        </is>
      </c>
      <c r="B20" s="10" t="n"/>
      <c r="C20" s="10" t="n"/>
      <c r="D20" s="10" t="n"/>
      <c r="E20" s="10" t="n"/>
      <c r="F20" s="7" t="n"/>
    </row>
    <row r="21">
      <c r="B21" s="6" t="inlineStr">
        <is>
          <t>Ödeme</t>
        </is>
      </c>
      <c r="C21" s="6" t="inlineStr">
        <is>
          <t>Kullanıcı Deneyimi</t>
        </is>
      </c>
      <c r="D21" s="6" t="inlineStr">
        <is>
          <t>Kargo</t>
        </is>
      </c>
      <c r="E21" s="6" t="inlineStr">
        <is>
          <t>Müşteri Yorumları</t>
        </is>
      </c>
      <c r="F21" s="6" t="inlineStr">
        <is>
          <t>Fiyatlandırma</t>
        </is>
      </c>
    </row>
    <row r="22">
      <c r="A22" s="6" t="inlineStr">
        <is>
          <t>Ödeme</t>
        </is>
      </c>
      <c r="B22" s="11">
        <f>B13/B18</f>
        <v/>
      </c>
      <c r="C22" s="11">
        <f>C13/C18</f>
        <v/>
      </c>
      <c r="D22" s="11">
        <f>D13/D18</f>
        <v/>
      </c>
      <c r="E22" s="11">
        <f>E13/E18</f>
        <v/>
      </c>
      <c r="F22" s="11">
        <f>F13/F18</f>
        <v/>
      </c>
    </row>
    <row r="23">
      <c r="A23" s="6" t="inlineStr">
        <is>
          <t>Kullanıcı Deneyimi</t>
        </is>
      </c>
      <c r="B23" s="11">
        <f>B14/B18</f>
        <v/>
      </c>
      <c r="C23" s="11">
        <f>C14/C18</f>
        <v/>
      </c>
      <c r="D23" s="11">
        <f>D14/D18</f>
        <v/>
      </c>
      <c r="E23" s="11">
        <f>E14/E18</f>
        <v/>
      </c>
      <c r="F23" s="11">
        <f>F14/F18</f>
        <v/>
      </c>
    </row>
    <row r="24">
      <c r="A24" s="6" t="inlineStr">
        <is>
          <t>Kargo</t>
        </is>
      </c>
      <c r="B24" s="11">
        <f>B15/B18</f>
        <v/>
      </c>
      <c r="C24" s="11">
        <f>C15/C18</f>
        <v/>
      </c>
      <c r="D24" s="11">
        <f>D15/D18</f>
        <v/>
      </c>
      <c r="E24" s="11">
        <f>E15/E18</f>
        <v/>
      </c>
      <c r="F24" s="11">
        <f>F15/F18</f>
        <v/>
      </c>
    </row>
    <row r="25">
      <c r="A25" s="6" t="inlineStr">
        <is>
          <t>Müşteri Yorumları</t>
        </is>
      </c>
      <c r="B25" s="11">
        <f>B16/B18</f>
        <v/>
      </c>
      <c r="C25" s="11">
        <f>C16/C18</f>
        <v/>
      </c>
      <c r="D25" s="11">
        <f>D16/D18</f>
        <v/>
      </c>
      <c r="E25" s="11">
        <f>E16/E18</f>
        <v/>
      </c>
      <c r="F25" s="11">
        <f>F16/F18</f>
        <v/>
      </c>
    </row>
    <row r="26">
      <c r="A26" s="6" t="inlineStr">
        <is>
          <t>Fiyatlandırma</t>
        </is>
      </c>
      <c r="B26" s="11">
        <f>B17/B18</f>
        <v/>
      </c>
      <c r="C26" s="11">
        <f>C17/C18</f>
        <v/>
      </c>
      <c r="D26" s="11">
        <f>D17/D18</f>
        <v/>
      </c>
      <c r="E26" s="11">
        <f>E17/E18</f>
        <v/>
      </c>
      <c r="F26" s="11">
        <f>F17/F18</f>
        <v/>
      </c>
    </row>
    <row r="28">
      <c r="A28" s="6" t="inlineStr">
        <is>
          <t>Kriter</t>
        </is>
      </c>
      <c r="B28" s="6" t="inlineStr">
        <is>
          <t>ÖZV (w)</t>
        </is>
      </c>
      <c r="C28" s="6" t="inlineStr">
        <is>
          <t>A·w</t>
        </is>
      </c>
      <c r="D28" s="6" t="inlineStr">
        <is>
          <t>A·w / w</t>
        </is>
      </c>
    </row>
    <row r="29">
      <c r="A29" s="6" t="inlineStr">
        <is>
          <t>Ödeme</t>
        </is>
      </c>
      <c r="B29" s="11">
        <f>AVERAGE(B22:F22)</f>
        <v/>
      </c>
      <c r="C29" s="11">
        <f>B13*$B$29+C13*$B$30+D13*$B$31+E13*$B$32+F13*$B$33</f>
        <v/>
      </c>
      <c r="D29" s="11">
        <f>C29/B29</f>
        <v/>
      </c>
    </row>
    <row r="30">
      <c r="A30" s="6" t="inlineStr">
        <is>
          <t>Kullanıcı Deneyimi</t>
        </is>
      </c>
      <c r="B30" s="11">
        <f>AVERAGE(B23:F23)</f>
        <v/>
      </c>
      <c r="C30" s="11">
        <f>B14*$B$29+C14*$B$30+D14*$B$31+E14*$B$32+F14*$B$33</f>
        <v/>
      </c>
      <c r="D30" s="11">
        <f>C30/B30</f>
        <v/>
      </c>
    </row>
    <row r="31">
      <c r="A31" s="6" t="inlineStr">
        <is>
          <t>Kargo</t>
        </is>
      </c>
      <c r="B31" s="11">
        <f>AVERAGE(B24:F24)</f>
        <v/>
      </c>
      <c r="C31" s="11">
        <f>B15*$B$29+C15*$B$30+D15*$B$31+E15*$B$32+F15*$B$33</f>
        <v/>
      </c>
      <c r="D31" s="11">
        <f>C31/B31</f>
        <v/>
      </c>
    </row>
    <row r="32">
      <c r="A32" s="6" t="inlineStr">
        <is>
          <t>Müşteri Yorumları</t>
        </is>
      </c>
      <c r="B32" s="11">
        <f>AVERAGE(B25:F25)</f>
        <v/>
      </c>
      <c r="C32" s="11">
        <f>B16*$B$29+C16*$B$30+D16*$B$31+E16*$B$32+F16*$B$33</f>
        <v/>
      </c>
      <c r="D32" s="11">
        <f>C32/B32</f>
        <v/>
      </c>
    </row>
    <row r="33">
      <c r="A33" s="6" t="inlineStr">
        <is>
          <t>Fiyatlandırma</t>
        </is>
      </c>
      <c r="B33" s="11">
        <f>AVERAGE(B26:F26)</f>
        <v/>
      </c>
      <c r="C33" s="11">
        <f>B17*$B$29+C17*$B$30+D17*$B$31+E17*$B$32+F17*$B$33</f>
        <v/>
      </c>
      <c r="D33" s="11">
        <f>C33/B33</f>
        <v/>
      </c>
    </row>
    <row r="34">
      <c r="A34" s="6" t="inlineStr">
        <is>
          <t>Toplam</t>
        </is>
      </c>
      <c r="B34" s="11">
        <f>SUM(B29:B33)</f>
        <v/>
      </c>
    </row>
    <row r="36">
      <c r="A36" s="6" t="inlineStr">
        <is>
          <t>λ_max (ENBÖZD)</t>
        </is>
      </c>
      <c r="B36" s="11">
        <f>AVERAGE(D29:D33)</f>
        <v/>
      </c>
    </row>
    <row r="37">
      <c r="A37" s="6" t="inlineStr">
        <is>
          <t>n (kriter sayısı)</t>
        </is>
      </c>
      <c r="B37" s="9" t="n">
        <v>5</v>
      </c>
    </row>
    <row r="38">
      <c r="A38" s="6" t="inlineStr">
        <is>
          <t>CI = (λ_max - n) / (n - 1)</t>
        </is>
      </c>
      <c r="B38" s="11">
        <f>(B36-B37)/(B37-1)</f>
        <v/>
      </c>
    </row>
    <row r="39">
      <c r="A39" s="6" t="inlineStr">
        <is>
          <t>RI (n=5)</t>
        </is>
      </c>
      <c r="B39" s="11" t="n">
        <v>1.11</v>
      </c>
    </row>
    <row r="40">
      <c r="A40" s="6" t="inlineStr">
        <is>
          <t>CR = CI / RI</t>
        </is>
      </c>
      <c r="B40" s="11">
        <f>B38/B39</f>
        <v/>
      </c>
    </row>
    <row r="41">
      <c r="A41" s="6" t="inlineStr">
        <is>
          <t>Tutarlılık Eşiği</t>
        </is>
      </c>
      <c r="B41" s="9" t="n">
        <v>0.1</v>
      </c>
    </row>
    <row r="42">
      <c r="A42" s="6" t="inlineStr">
        <is>
          <t>Durum</t>
        </is>
      </c>
      <c r="B42" s="12">
        <f>IF(B40&lt;=B41,"Tutarlı","Tutarsız")</f>
        <v/>
      </c>
    </row>
  </sheetData>
  <mergeCells count="4">
    <mergeCell ref="A20:F20"/>
    <mergeCell ref="A11:F11"/>
    <mergeCell ref="A3:B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KATILIMCI 04 - AHP ANALİZİ</t>
        </is>
      </c>
    </row>
    <row r="3">
      <c r="A3" s="6" t="inlineStr">
        <is>
          <t>Demografik Bilgiler</t>
        </is>
      </c>
      <c r="B3" s="7" t="n"/>
    </row>
    <row r="4">
      <c r="A4" s="8" t="inlineStr">
        <is>
          <t>Cinsiyet</t>
        </is>
      </c>
      <c r="B4" s="9">
        <f>Anket_Yanitlari!B5</f>
        <v/>
      </c>
    </row>
    <row r="5">
      <c r="A5" s="8" t="inlineStr">
        <is>
          <t>Yaş</t>
        </is>
      </c>
      <c r="B5" s="9">
        <f>Anket_Yanitlari!C5</f>
        <v/>
      </c>
    </row>
    <row r="6">
      <c r="A6" s="8" t="inlineStr">
        <is>
          <t>Eğitim</t>
        </is>
      </c>
      <c r="B6" s="9">
        <f>Anket_Yanitlari!D5</f>
        <v/>
      </c>
    </row>
    <row r="7">
      <c r="A7" s="8" t="inlineStr">
        <is>
          <t>Meslek</t>
        </is>
      </c>
      <c r="B7" s="9">
        <f>Anket_Yanitlari!E5</f>
        <v/>
      </c>
    </row>
    <row r="8">
      <c r="A8" s="8" t="inlineStr">
        <is>
          <t>Alışveriş Sıklığı</t>
        </is>
      </c>
      <c r="B8" s="9">
        <f>Anket_Yanitlari!F5</f>
        <v/>
      </c>
    </row>
    <row r="9">
      <c r="A9" s="8" t="inlineStr">
        <is>
          <t>Cihaz</t>
        </is>
      </c>
      <c r="B9" s="9">
        <f>Anket_Yanitlari!G5</f>
        <v/>
      </c>
    </row>
    <row r="11">
      <c r="A11" s="6" t="inlineStr">
        <is>
          <t>İkili Karşılaştırma Matrisi (A)</t>
        </is>
      </c>
      <c r="B11" s="10" t="n"/>
      <c r="C11" s="10" t="n"/>
      <c r="D11" s="10" t="n"/>
      <c r="E11" s="10" t="n"/>
      <c r="F11" s="7" t="n"/>
    </row>
    <row r="12">
      <c r="B12" s="6" t="inlineStr">
        <is>
          <t>Ödeme</t>
        </is>
      </c>
      <c r="C12" s="6" t="inlineStr">
        <is>
          <t>Kullanıcı Deneyimi</t>
        </is>
      </c>
      <c r="D12" s="6" t="inlineStr">
        <is>
          <t>Kargo</t>
        </is>
      </c>
      <c r="E12" s="6" t="inlineStr">
        <is>
          <t>Müşteri Yorumları</t>
        </is>
      </c>
      <c r="F12" s="6" t="inlineStr">
        <is>
          <t>Fiyatlandırma</t>
        </is>
      </c>
    </row>
    <row r="13">
      <c r="A13" s="6" t="inlineStr">
        <is>
          <t>Ödeme</t>
        </is>
      </c>
      <c r="B13" s="11" t="n">
        <v>1</v>
      </c>
      <c r="C13" s="11">
        <f>Anket_Yanitlari!H5</f>
        <v/>
      </c>
      <c r="D13" s="11">
        <f>Anket_Yanitlari!I5</f>
        <v/>
      </c>
      <c r="E13" s="11">
        <f>Anket_Yanitlari!J5</f>
        <v/>
      </c>
      <c r="F13" s="11">
        <f>Anket_Yanitlari!K5</f>
        <v/>
      </c>
    </row>
    <row r="14">
      <c r="A14" s="6" t="inlineStr">
        <is>
          <t>Kullanıcı Deneyimi</t>
        </is>
      </c>
      <c r="B14" s="11">
        <f>1/C13</f>
        <v/>
      </c>
      <c r="C14" s="11" t="n">
        <v>1</v>
      </c>
      <c r="D14" s="11">
        <f>Anket_Yanitlari!L5</f>
        <v/>
      </c>
      <c r="E14" s="11">
        <f>Anket_Yanitlari!M5</f>
        <v/>
      </c>
      <c r="F14" s="11">
        <f>Anket_Yanitlari!N5</f>
        <v/>
      </c>
    </row>
    <row r="15">
      <c r="A15" s="6" t="inlineStr">
        <is>
          <t>Kargo</t>
        </is>
      </c>
      <c r="B15" s="11">
        <f>1/D13</f>
        <v/>
      </c>
      <c r="C15" s="11">
        <f>1/D14</f>
        <v/>
      </c>
      <c r="D15" s="11" t="n">
        <v>1</v>
      </c>
      <c r="E15" s="11">
        <f>Anket_Yanitlari!O5</f>
        <v/>
      </c>
      <c r="F15" s="11">
        <f>Anket_Yanitlari!P5</f>
        <v/>
      </c>
    </row>
    <row r="16">
      <c r="A16" s="6" t="inlineStr">
        <is>
          <t>Müşteri Yorumları</t>
        </is>
      </c>
      <c r="B16" s="11">
        <f>1/E13</f>
        <v/>
      </c>
      <c r="C16" s="11">
        <f>1/E14</f>
        <v/>
      </c>
      <c r="D16" s="11">
        <f>1/E15</f>
        <v/>
      </c>
      <c r="E16" s="11" t="n">
        <v>1</v>
      </c>
      <c r="F16" s="11">
        <f>Anket_Yanitlari!Q5</f>
        <v/>
      </c>
    </row>
    <row r="17">
      <c r="A17" s="6" t="inlineStr">
        <is>
          <t>Fiyatlandırma</t>
        </is>
      </c>
      <c r="B17" s="11">
        <f>1/F13</f>
        <v/>
      </c>
      <c r="C17" s="11">
        <f>1/F14</f>
        <v/>
      </c>
      <c r="D17" s="11">
        <f>1/F15</f>
        <v/>
      </c>
      <c r="E17" s="11">
        <f>1/F16</f>
        <v/>
      </c>
      <c r="F17" s="11" t="n">
        <v>1</v>
      </c>
    </row>
    <row r="18">
      <c r="A18" s="6" t="inlineStr">
        <is>
          <t>Sütun Toplamı</t>
        </is>
      </c>
      <c r="B18" s="11">
        <f>SUM(B13:B17)</f>
        <v/>
      </c>
      <c r="C18" s="11">
        <f>SUM(C13:C17)</f>
        <v/>
      </c>
      <c r="D18" s="11">
        <f>SUM(D13:D17)</f>
        <v/>
      </c>
      <c r="E18" s="11">
        <f>SUM(E13:E17)</f>
        <v/>
      </c>
      <c r="F18" s="11">
        <f>SUM(F13:F17)</f>
        <v/>
      </c>
    </row>
    <row r="20">
      <c r="A20" s="6" t="inlineStr">
        <is>
          <t>Normalize Matris (N)</t>
        </is>
      </c>
      <c r="B20" s="10" t="n"/>
      <c r="C20" s="10" t="n"/>
      <c r="D20" s="10" t="n"/>
      <c r="E20" s="10" t="n"/>
      <c r="F20" s="7" t="n"/>
    </row>
    <row r="21">
      <c r="B21" s="6" t="inlineStr">
        <is>
          <t>Ödeme</t>
        </is>
      </c>
      <c r="C21" s="6" t="inlineStr">
        <is>
          <t>Kullanıcı Deneyimi</t>
        </is>
      </c>
      <c r="D21" s="6" t="inlineStr">
        <is>
          <t>Kargo</t>
        </is>
      </c>
      <c r="E21" s="6" t="inlineStr">
        <is>
          <t>Müşteri Yorumları</t>
        </is>
      </c>
      <c r="F21" s="6" t="inlineStr">
        <is>
          <t>Fiyatlandırma</t>
        </is>
      </c>
    </row>
    <row r="22">
      <c r="A22" s="6" t="inlineStr">
        <is>
          <t>Ödeme</t>
        </is>
      </c>
      <c r="B22" s="11">
        <f>B13/B18</f>
        <v/>
      </c>
      <c r="C22" s="11">
        <f>C13/C18</f>
        <v/>
      </c>
      <c r="D22" s="11">
        <f>D13/D18</f>
        <v/>
      </c>
      <c r="E22" s="11">
        <f>E13/E18</f>
        <v/>
      </c>
      <c r="F22" s="11">
        <f>F13/F18</f>
        <v/>
      </c>
    </row>
    <row r="23">
      <c r="A23" s="6" t="inlineStr">
        <is>
          <t>Kullanıcı Deneyimi</t>
        </is>
      </c>
      <c r="B23" s="11">
        <f>B14/B18</f>
        <v/>
      </c>
      <c r="C23" s="11">
        <f>C14/C18</f>
        <v/>
      </c>
      <c r="D23" s="11">
        <f>D14/D18</f>
        <v/>
      </c>
      <c r="E23" s="11">
        <f>E14/E18</f>
        <v/>
      </c>
      <c r="F23" s="11">
        <f>F14/F18</f>
        <v/>
      </c>
    </row>
    <row r="24">
      <c r="A24" s="6" t="inlineStr">
        <is>
          <t>Kargo</t>
        </is>
      </c>
      <c r="B24" s="11">
        <f>B15/B18</f>
        <v/>
      </c>
      <c r="C24" s="11">
        <f>C15/C18</f>
        <v/>
      </c>
      <c r="D24" s="11">
        <f>D15/D18</f>
        <v/>
      </c>
      <c r="E24" s="11">
        <f>E15/E18</f>
        <v/>
      </c>
      <c r="F24" s="11">
        <f>F15/F18</f>
        <v/>
      </c>
    </row>
    <row r="25">
      <c r="A25" s="6" t="inlineStr">
        <is>
          <t>Müşteri Yorumları</t>
        </is>
      </c>
      <c r="B25" s="11">
        <f>B16/B18</f>
        <v/>
      </c>
      <c r="C25" s="11">
        <f>C16/C18</f>
        <v/>
      </c>
      <c r="D25" s="11">
        <f>D16/D18</f>
        <v/>
      </c>
      <c r="E25" s="11">
        <f>E16/E18</f>
        <v/>
      </c>
      <c r="F25" s="11">
        <f>F16/F18</f>
        <v/>
      </c>
    </row>
    <row r="26">
      <c r="A26" s="6" t="inlineStr">
        <is>
          <t>Fiyatlandırma</t>
        </is>
      </c>
      <c r="B26" s="11">
        <f>B17/B18</f>
        <v/>
      </c>
      <c r="C26" s="11">
        <f>C17/C18</f>
        <v/>
      </c>
      <c r="D26" s="11">
        <f>D17/D18</f>
        <v/>
      </c>
      <c r="E26" s="11">
        <f>E17/E18</f>
        <v/>
      </c>
      <c r="F26" s="11">
        <f>F17/F18</f>
        <v/>
      </c>
    </row>
    <row r="28">
      <c r="A28" s="6" t="inlineStr">
        <is>
          <t>Kriter</t>
        </is>
      </c>
      <c r="B28" s="6" t="inlineStr">
        <is>
          <t>ÖZV (w)</t>
        </is>
      </c>
      <c r="C28" s="6" t="inlineStr">
        <is>
          <t>A·w</t>
        </is>
      </c>
      <c r="D28" s="6" t="inlineStr">
        <is>
          <t>A·w / w</t>
        </is>
      </c>
    </row>
    <row r="29">
      <c r="A29" s="6" t="inlineStr">
        <is>
          <t>Ödeme</t>
        </is>
      </c>
      <c r="B29" s="11">
        <f>AVERAGE(B22:F22)</f>
        <v/>
      </c>
      <c r="C29" s="11">
        <f>B13*$B$29+C13*$B$30+D13*$B$31+E13*$B$32+F13*$B$33</f>
        <v/>
      </c>
      <c r="D29" s="11">
        <f>C29/B29</f>
        <v/>
      </c>
    </row>
    <row r="30">
      <c r="A30" s="6" t="inlineStr">
        <is>
          <t>Kullanıcı Deneyimi</t>
        </is>
      </c>
      <c r="B30" s="11">
        <f>AVERAGE(B23:F23)</f>
        <v/>
      </c>
      <c r="C30" s="11">
        <f>B14*$B$29+C14*$B$30+D14*$B$31+E14*$B$32+F14*$B$33</f>
        <v/>
      </c>
      <c r="D30" s="11">
        <f>C30/B30</f>
        <v/>
      </c>
    </row>
    <row r="31">
      <c r="A31" s="6" t="inlineStr">
        <is>
          <t>Kargo</t>
        </is>
      </c>
      <c r="B31" s="11">
        <f>AVERAGE(B24:F24)</f>
        <v/>
      </c>
      <c r="C31" s="11">
        <f>B15*$B$29+C15*$B$30+D15*$B$31+E15*$B$32+F15*$B$33</f>
        <v/>
      </c>
      <c r="D31" s="11">
        <f>C31/B31</f>
        <v/>
      </c>
    </row>
    <row r="32">
      <c r="A32" s="6" t="inlineStr">
        <is>
          <t>Müşteri Yorumları</t>
        </is>
      </c>
      <c r="B32" s="11">
        <f>AVERAGE(B25:F25)</f>
        <v/>
      </c>
      <c r="C32" s="11">
        <f>B16*$B$29+C16*$B$30+D16*$B$31+E16*$B$32+F16*$B$33</f>
        <v/>
      </c>
      <c r="D32" s="11">
        <f>C32/B32</f>
        <v/>
      </c>
    </row>
    <row r="33">
      <c r="A33" s="6" t="inlineStr">
        <is>
          <t>Fiyatlandırma</t>
        </is>
      </c>
      <c r="B33" s="11">
        <f>AVERAGE(B26:F26)</f>
        <v/>
      </c>
      <c r="C33" s="11">
        <f>B17*$B$29+C17*$B$30+D17*$B$31+E17*$B$32+F17*$B$33</f>
        <v/>
      </c>
      <c r="D33" s="11">
        <f>C33/B33</f>
        <v/>
      </c>
    </row>
    <row r="34">
      <c r="A34" s="6" t="inlineStr">
        <is>
          <t>Toplam</t>
        </is>
      </c>
      <c r="B34" s="11">
        <f>SUM(B29:B33)</f>
        <v/>
      </c>
    </row>
    <row r="36">
      <c r="A36" s="6" t="inlineStr">
        <is>
          <t>λ_max (ENBÖZD)</t>
        </is>
      </c>
      <c r="B36" s="11">
        <f>AVERAGE(D29:D33)</f>
        <v/>
      </c>
    </row>
    <row r="37">
      <c r="A37" s="6" t="inlineStr">
        <is>
          <t>n (kriter sayısı)</t>
        </is>
      </c>
      <c r="B37" s="9" t="n">
        <v>5</v>
      </c>
    </row>
    <row r="38">
      <c r="A38" s="6" t="inlineStr">
        <is>
          <t>CI = (λ_max - n) / (n - 1)</t>
        </is>
      </c>
      <c r="B38" s="11">
        <f>(B36-B37)/(B37-1)</f>
        <v/>
      </c>
    </row>
    <row r="39">
      <c r="A39" s="6" t="inlineStr">
        <is>
          <t>RI (n=5)</t>
        </is>
      </c>
      <c r="B39" s="11" t="n">
        <v>1.11</v>
      </c>
    </row>
    <row r="40">
      <c r="A40" s="6" t="inlineStr">
        <is>
          <t>CR = CI / RI</t>
        </is>
      </c>
      <c r="B40" s="11">
        <f>B38/B39</f>
        <v/>
      </c>
    </row>
    <row r="41">
      <c r="A41" s="6" t="inlineStr">
        <is>
          <t>Tutarlılık Eşiği</t>
        </is>
      </c>
      <c r="B41" s="9" t="n">
        <v>0.1</v>
      </c>
    </row>
    <row r="42">
      <c r="A42" s="6" t="inlineStr">
        <is>
          <t>Durum</t>
        </is>
      </c>
      <c r="B42" s="12">
        <f>IF(B40&lt;=B41,"Tutarlı","Tutarsız")</f>
        <v/>
      </c>
    </row>
  </sheetData>
  <mergeCells count="4">
    <mergeCell ref="A20:F20"/>
    <mergeCell ref="A11:F11"/>
    <mergeCell ref="A3:B3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KATILIMCI 05 - AHP ANALİZİ</t>
        </is>
      </c>
    </row>
    <row r="3">
      <c r="A3" s="6" t="inlineStr">
        <is>
          <t>Demografik Bilgiler</t>
        </is>
      </c>
      <c r="B3" s="7" t="n"/>
    </row>
    <row r="4">
      <c r="A4" s="8" t="inlineStr">
        <is>
          <t>Cinsiyet</t>
        </is>
      </c>
      <c r="B4" s="9">
        <f>Anket_Yanitlari!B6</f>
        <v/>
      </c>
    </row>
    <row r="5">
      <c r="A5" s="8" t="inlineStr">
        <is>
          <t>Yaş</t>
        </is>
      </c>
      <c r="B5" s="9">
        <f>Anket_Yanitlari!C6</f>
        <v/>
      </c>
    </row>
    <row r="6">
      <c r="A6" s="8" t="inlineStr">
        <is>
          <t>Eğitim</t>
        </is>
      </c>
      <c r="B6" s="9">
        <f>Anket_Yanitlari!D6</f>
        <v/>
      </c>
    </row>
    <row r="7">
      <c r="A7" s="8" t="inlineStr">
        <is>
          <t>Meslek</t>
        </is>
      </c>
      <c r="B7" s="9">
        <f>Anket_Yanitlari!E6</f>
        <v/>
      </c>
    </row>
    <row r="8">
      <c r="A8" s="8" t="inlineStr">
        <is>
          <t>Alışveriş Sıklığı</t>
        </is>
      </c>
      <c r="B8" s="9">
        <f>Anket_Yanitlari!F6</f>
        <v/>
      </c>
    </row>
    <row r="9">
      <c r="A9" s="8" t="inlineStr">
        <is>
          <t>Cihaz</t>
        </is>
      </c>
      <c r="B9" s="9">
        <f>Anket_Yanitlari!G6</f>
        <v/>
      </c>
    </row>
    <row r="11">
      <c r="A11" s="6" t="inlineStr">
        <is>
          <t>İkili Karşılaştırma Matrisi (A)</t>
        </is>
      </c>
      <c r="B11" s="10" t="n"/>
      <c r="C11" s="10" t="n"/>
      <c r="D11" s="10" t="n"/>
      <c r="E11" s="10" t="n"/>
      <c r="F11" s="7" t="n"/>
    </row>
    <row r="12">
      <c r="B12" s="6" t="inlineStr">
        <is>
          <t>Ödeme</t>
        </is>
      </c>
      <c r="C12" s="6" t="inlineStr">
        <is>
          <t>Kullanıcı Deneyimi</t>
        </is>
      </c>
      <c r="D12" s="6" t="inlineStr">
        <is>
          <t>Kargo</t>
        </is>
      </c>
      <c r="E12" s="6" t="inlineStr">
        <is>
          <t>Müşteri Yorumları</t>
        </is>
      </c>
      <c r="F12" s="6" t="inlineStr">
        <is>
          <t>Fiyatlandırma</t>
        </is>
      </c>
    </row>
    <row r="13">
      <c r="A13" s="6" t="inlineStr">
        <is>
          <t>Ödeme</t>
        </is>
      </c>
      <c r="B13" s="11" t="n">
        <v>1</v>
      </c>
      <c r="C13" s="11">
        <f>Anket_Yanitlari!H6</f>
        <v/>
      </c>
      <c r="D13" s="11">
        <f>Anket_Yanitlari!I6</f>
        <v/>
      </c>
      <c r="E13" s="11">
        <f>Anket_Yanitlari!J6</f>
        <v/>
      </c>
      <c r="F13" s="11">
        <f>Anket_Yanitlari!K6</f>
        <v/>
      </c>
    </row>
    <row r="14">
      <c r="A14" s="6" t="inlineStr">
        <is>
          <t>Kullanıcı Deneyimi</t>
        </is>
      </c>
      <c r="B14" s="11">
        <f>1/C13</f>
        <v/>
      </c>
      <c r="C14" s="11" t="n">
        <v>1</v>
      </c>
      <c r="D14" s="11">
        <f>Anket_Yanitlari!L6</f>
        <v/>
      </c>
      <c r="E14" s="11">
        <f>Anket_Yanitlari!M6</f>
        <v/>
      </c>
      <c r="F14" s="11">
        <f>Anket_Yanitlari!N6</f>
        <v/>
      </c>
    </row>
    <row r="15">
      <c r="A15" s="6" t="inlineStr">
        <is>
          <t>Kargo</t>
        </is>
      </c>
      <c r="B15" s="11">
        <f>1/D13</f>
        <v/>
      </c>
      <c r="C15" s="11">
        <f>1/D14</f>
        <v/>
      </c>
      <c r="D15" s="11" t="n">
        <v>1</v>
      </c>
      <c r="E15" s="11">
        <f>Anket_Yanitlari!O6</f>
        <v/>
      </c>
      <c r="F15" s="11">
        <f>Anket_Yanitlari!P6</f>
        <v/>
      </c>
    </row>
    <row r="16">
      <c r="A16" s="6" t="inlineStr">
        <is>
          <t>Müşteri Yorumları</t>
        </is>
      </c>
      <c r="B16" s="11">
        <f>1/E13</f>
        <v/>
      </c>
      <c r="C16" s="11">
        <f>1/E14</f>
        <v/>
      </c>
      <c r="D16" s="11">
        <f>1/E15</f>
        <v/>
      </c>
      <c r="E16" s="11" t="n">
        <v>1</v>
      </c>
      <c r="F16" s="11">
        <f>Anket_Yanitlari!Q6</f>
        <v/>
      </c>
    </row>
    <row r="17">
      <c r="A17" s="6" t="inlineStr">
        <is>
          <t>Fiyatlandırma</t>
        </is>
      </c>
      <c r="B17" s="11">
        <f>1/F13</f>
        <v/>
      </c>
      <c r="C17" s="11">
        <f>1/F14</f>
        <v/>
      </c>
      <c r="D17" s="11">
        <f>1/F15</f>
        <v/>
      </c>
      <c r="E17" s="11">
        <f>1/F16</f>
        <v/>
      </c>
      <c r="F17" s="11" t="n">
        <v>1</v>
      </c>
    </row>
    <row r="18">
      <c r="A18" s="6" t="inlineStr">
        <is>
          <t>Sütun Toplamı</t>
        </is>
      </c>
      <c r="B18" s="11">
        <f>SUM(B13:B17)</f>
        <v/>
      </c>
      <c r="C18" s="11">
        <f>SUM(C13:C17)</f>
        <v/>
      </c>
      <c r="D18" s="11">
        <f>SUM(D13:D17)</f>
        <v/>
      </c>
      <c r="E18" s="11">
        <f>SUM(E13:E17)</f>
        <v/>
      </c>
      <c r="F18" s="11">
        <f>SUM(F13:F17)</f>
        <v/>
      </c>
    </row>
    <row r="20">
      <c r="A20" s="6" t="inlineStr">
        <is>
          <t>Normalize Matris (N)</t>
        </is>
      </c>
      <c r="B20" s="10" t="n"/>
      <c r="C20" s="10" t="n"/>
      <c r="D20" s="10" t="n"/>
      <c r="E20" s="10" t="n"/>
      <c r="F20" s="7" t="n"/>
    </row>
    <row r="21">
      <c r="B21" s="6" t="inlineStr">
        <is>
          <t>Ödeme</t>
        </is>
      </c>
      <c r="C21" s="6" t="inlineStr">
        <is>
          <t>Kullanıcı Deneyimi</t>
        </is>
      </c>
      <c r="D21" s="6" t="inlineStr">
        <is>
          <t>Kargo</t>
        </is>
      </c>
      <c r="E21" s="6" t="inlineStr">
        <is>
          <t>Müşteri Yorumları</t>
        </is>
      </c>
      <c r="F21" s="6" t="inlineStr">
        <is>
          <t>Fiyatlandırma</t>
        </is>
      </c>
    </row>
    <row r="22">
      <c r="A22" s="6" t="inlineStr">
        <is>
          <t>Ödeme</t>
        </is>
      </c>
      <c r="B22" s="11">
        <f>B13/B18</f>
        <v/>
      </c>
      <c r="C22" s="11">
        <f>C13/C18</f>
        <v/>
      </c>
      <c r="D22" s="11">
        <f>D13/D18</f>
        <v/>
      </c>
      <c r="E22" s="11">
        <f>E13/E18</f>
        <v/>
      </c>
      <c r="F22" s="11">
        <f>F13/F18</f>
        <v/>
      </c>
    </row>
    <row r="23">
      <c r="A23" s="6" t="inlineStr">
        <is>
          <t>Kullanıcı Deneyimi</t>
        </is>
      </c>
      <c r="B23" s="11">
        <f>B14/B18</f>
        <v/>
      </c>
      <c r="C23" s="11">
        <f>C14/C18</f>
        <v/>
      </c>
      <c r="D23" s="11">
        <f>D14/D18</f>
        <v/>
      </c>
      <c r="E23" s="11">
        <f>E14/E18</f>
        <v/>
      </c>
      <c r="F23" s="11">
        <f>F14/F18</f>
        <v/>
      </c>
    </row>
    <row r="24">
      <c r="A24" s="6" t="inlineStr">
        <is>
          <t>Kargo</t>
        </is>
      </c>
      <c r="B24" s="11">
        <f>B15/B18</f>
        <v/>
      </c>
      <c r="C24" s="11">
        <f>C15/C18</f>
        <v/>
      </c>
      <c r="D24" s="11">
        <f>D15/D18</f>
        <v/>
      </c>
      <c r="E24" s="11">
        <f>E15/E18</f>
        <v/>
      </c>
      <c r="F24" s="11">
        <f>F15/F18</f>
        <v/>
      </c>
    </row>
    <row r="25">
      <c r="A25" s="6" t="inlineStr">
        <is>
          <t>Müşteri Yorumları</t>
        </is>
      </c>
      <c r="B25" s="11">
        <f>B16/B18</f>
        <v/>
      </c>
      <c r="C25" s="11">
        <f>C16/C18</f>
        <v/>
      </c>
      <c r="D25" s="11">
        <f>D16/D18</f>
        <v/>
      </c>
      <c r="E25" s="11">
        <f>E16/E18</f>
        <v/>
      </c>
      <c r="F25" s="11">
        <f>F16/F18</f>
        <v/>
      </c>
    </row>
    <row r="26">
      <c r="A26" s="6" t="inlineStr">
        <is>
          <t>Fiyatlandırma</t>
        </is>
      </c>
      <c r="B26" s="11">
        <f>B17/B18</f>
        <v/>
      </c>
      <c r="C26" s="11">
        <f>C17/C18</f>
        <v/>
      </c>
      <c r="D26" s="11">
        <f>D17/D18</f>
        <v/>
      </c>
      <c r="E26" s="11">
        <f>E17/E18</f>
        <v/>
      </c>
      <c r="F26" s="11">
        <f>F17/F18</f>
        <v/>
      </c>
    </row>
    <row r="28">
      <c r="A28" s="6" t="inlineStr">
        <is>
          <t>Kriter</t>
        </is>
      </c>
      <c r="B28" s="6" t="inlineStr">
        <is>
          <t>ÖZV (w)</t>
        </is>
      </c>
      <c r="C28" s="6" t="inlineStr">
        <is>
          <t>A·w</t>
        </is>
      </c>
      <c r="D28" s="6" t="inlineStr">
        <is>
          <t>A·w / w</t>
        </is>
      </c>
    </row>
    <row r="29">
      <c r="A29" s="6" t="inlineStr">
        <is>
          <t>Ödeme</t>
        </is>
      </c>
      <c r="B29" s="11">
        <f>AVERAGE(B22:F22)</f>
        <v/>
      </c>
      <c r="C29" s="11">
        <f>B13*$B$29+C13*$B$30+D13*$B$31+E13*$B$32+F13*$B$33</f>
        <v/>
      </c>
      <c r="D29" s="11">
        <f>C29/B29</f>
        <v/>
      </c>
    </row>
    <row r="30">
      <c r="A30" s="6" t="inlineStr">
        <is>
          <t>Kullanıcı Deneyimi</t>
        </is>
      </c>
      <c r="B30" s="11">
        <f>AVERAGE(B23:F23)</f>
        <v/>
      </c>
      <c r="C30" s="11">
        <f>B14*$B$29+C14*$B$30+D14*$B$31+E14*$B$32+F14*$B$33</f>
        <v/>
      </c>
      <c r="D30" s="11">
        <f>C30/B30</f>
        <v/>
      </c>
    </row>
    <row r="31">
      <c r="A31" s="6" t="inlineStr">
        <is>
          <t>Kargo</t>
        </is>
      </c>
      <c r="B31" s="11">
        <f>AVERAGE(B24:F24)</f>
        <v/>
      </c>
      <c r="C31" s="11">
        <f>B15*$B$29+C15*$B$30+D15*$B$31+E15*$B$32+F15*$B$33</f>
        <v/>
      </c>
      <c r="D31" s="11">
        <f>C31/B31</f>
        <v/>
      </c>
    </row>
    <row r="32">
      <c r="A32" s="6" t="inlineStr">
        <is>
          <t>Müşteri Yorumları</t>
        </is>
      </c>
      <c r="B32" s="11">
        <f>AVERAGE(B25:F25)</f>
        <v/>
      </c>
      <c r="C32" s="11">
        <f>B16*$B$29+C16*$B$30+D16*$B$31+E16*$B$32+F16*$B$33</f>
        <v/>
      </c>
      <c r="D32" s="11">
        <f>C32/B32</f>
        <v/>
      </c>
    </row>
    <row r="33">
      <c r="A33" s="6" t="inlineStr">
        <is>
          <t>Fiyatlandırma</t>
        </is>
      </c>
      <c r="B33" s="11">
        <f>AVERAGE(B26:F26)</f>
        <v/>
      </c>
      <c r="C33" s="11">
        <f>B17*$B$29+C17*$B$30+D17*$B$31+E17*$B$32+F17*$B$33</f>
        <v/>
      </c>
      <c r="D33" s="11">
        <f>C33/B33</f>
        <v/>
      </c>
    </row>
    <row r="34">
      <c r="A34" s="6" t="inlineStr">
        <is>
          <t>Toplam</t>
        </is>
      </c>
      <c r="B34" s="11">
        <f>SUM(B29:B33)</f>
        <v/>
      </c>
    </row>
    <row r="36">
      <c r="A36" s="6" t="inlineStr">
        <is>
          <t>λ_max (ENBÖZD)</t>
        </is>
      </c>
      <c r="B36" s="11">
        <f>AVERAGE(D29:D33)</f>
        <v/>
      </c>
    </row>
    <row r="37">
      <c r="A37" s="6" t="inlineStr">
        <is>
          <t>n (kriter sayısı)</t>
        </is>
      </c>
      <c r="B37" s="9" t="n">
        <v>5</v>
      </c>
    </row>
    <row r="38">
      <c r="A38" s="6" t="inlineStr">
        <is>
          <t>CI = (λ_max - n) / (n - 1)</t>
        </is>
      </c>
      <c r="B38" s="11">
        <f>(B36-B37)/(B37-1)</f>
        <v/>
      </c>
    </row>
    <row r="39">
      <c r="A39" s="6" t="inlineStr">
        <is>
          <t>RI (n=5)</t>
        </is>
      </c>
      <c r="B39" s="11" t="n">
        <v>1.11</v>
      </c>
    </row>
    <row r="40">
      <c r="A40" s="6" t="inlineStr">
        <is>
          <t>CR = CI / RI</t>
        </is>
      </c>
      <c r="B40" s="11">
        <f>B38/B39</f>
        <v/>
      </c>
    </row>
    <row r="41">
      <c r="A41" s="6" t="inlineStr">
        <is>
          <t>Tutarlılık Eşiği</t>
        </is>
      </c>
      <c r="B41" s="9" t="n">
        <v>0.1</v>
      </c>
    </row>
    <row r="42">
      <c r="A42" s="6" t="inlineStr">
        <is>
          <t>Durum</t>
        </is>
      </c>
      <c r="B42" s="12">
        <f>IF(B40&lt;=B41,"Tutarlı","Tutarsız")</f>
        <v/>
      </c>
    </row>
  </sheetData>
  <mergeCells count="4">
    <mergeCell ref="A20:F20"/>
    <mergeCell ref="A11:F11"/>
    <mergeCell ref="A3:B3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KATILIMCI 06 - AHP ANALİZİ</t>
        </is>
      </c>
    </row>
    <row r="3">
      <c r="A3" s="6" t="inlineStr">
        <is>
          <t>Demografik Bilgiler</t>
        </is>
      </c>
      <c r="B3" s="7" t="n"/>
    </row>
    <row r="4">
      <c r="A4" s="8" t="inlineStr">
        <is>
          <t>Cinsiyet</t>
        </is>
      </c>
      <c r="B4" s="9">
        <f>Anket_Yanitlari!B7</f>
        <v/>
      </c>
    </row>
    <row r="5">
      <c r="A5" s="8" t="inlineStr">
        <is>
          <t>Yaş</t>
        </is>
      </c>
      <c r="B5" s="9">
        <f>Anket_Yanitlari!C7</f>
        <v/>
      </c>
    </row>
    <row r="6">
      <c r="A6" s="8" t="inlineStr">
        <is>
          <t>Eğitim</t>
        </is>
      </c>
      <c r="B6" s="9">
        <f>Anket_Yanitlari!D7</f>
        <v/>
      </c>
    </row>
    <row r="7">
      <c r="A7" s="8" t="inlineStr">
        <is>
          <t>Meslek</t>
        </is>
      </c>
      <c r="B7" s="9">
        <f>Anket_Yanitlari!E7</f>
        <v/>
      </c>
    </row>
    <row r="8">
      <c r="A8" s="8" t="inlineStr">
        <is>
          <t>Alışveriş Sıklığı</t>
        </is>
      </c>
      <c r="B8" s="9">
        <f>Anket_Yanitlari!F7</f>
        <v/>
      </c>
    </row>
    <row r="9">
      <c r="A9" s="8" t="inlineStr">
        <is>
          <t>Cihaz</t>
        </is>
      </c>
      <c r="B9" s="9">
        <f>Anket_Yanitlari!G7</f>
        <v/>
      </c>
    </row>
    <row r="11">
      <c r="A11" s="6" t="inlineStr">
        <is>
          <t>İkili Karşılaştırma Matrisi (A)</t>
        </is>
      </c>
      <c r="B11" s="10" t="n"/>
      <c r="C11" s="10" t="n"/>
      <c r="D11" s="10" t="n"/>
      <c r="E11" s="10" t="n"/>
      <c r="F11" s="7" t="n"/>
    </row>
    <row r="12">
      <c r="B12" s="6" t="inlineStr">
        <is>
          <t>Ödeme</t>
        </is>
      </c>
      <c r="C12" s="6" t="inlineStr">
        <is>
          <t>Kullanıcı Deneyimi</t>
        </is>
      </c>
      <c r="D12" s="6" t="inlineStr">
        <is>
          <t>Kargo</t>
        </is>
      </c>
      <c r="E12" s="6" t="inlineStr">
        <is>
          <t>Müşteri Yorumları</t>
        </is>
      </c>
      <c r="F12" s="6" t="inlineStr">
        <is>
          <t>Fiyatlandırma</t>
        </is>
      </c>
    </row>
    <row r="13">
      <c r="A13" s="6" t="inlineStr">
        <is>
          <t>Ödeme</t>
        </is>
      </c>
      <c r="B13" s="11" t="n">
        <v>1</v>
      </c>
      <c r="C13" s="11">
        <f>Anket_Yanitlari!H7</f>
        <v/>
      </c>
      <c r="D13" s="11">
        <f>Anket_Yanitlari!I7</f>
        <v/>
      </c>
      <c r="E13" s="11">
        <f>Anket_Yanitlari!J7</f>
        <v/>
      </c>
      <c r="F13" s="11">
        <f>Anket_Yanitlari!K7</f>
        <v/>
      </c>
    </row>
    <row r="14">
      <c r="A14" s="6" t="inlineStr">
        <is>
          <t>Kullanıcı Deneyimi</t>
        </is>
      </c>
      <c r="B14" s="11">
        <f>1/C13</f>
        <v/>
      </c>
      <c r="C14" s="11" t="n">
        <v>1</v>
      </c>
      <c r="D14" s="11">
        <f>Anket_Yanitlari!L7</f>
        <v/>
      </c>
      <c r="E14" s="11">
        <f>Anket_Yanitlari!M7</f>
        <v/>
      </c>
      <c r="F14" s="11">
        <f>Anket_Yanitlari!N7</f>
        <v/>
      </c>
    </row>
    <row r="15">
      <c r="A15" s="6" t="inlineStr">
        <is>
          <t>Kargo</t>
        </is>
      </c>
      <c r="B15" s="11">
        <f>1/D13</f>
        <v/>
      </c>
      <c r="C15" s="11">
        <f>1/D14</f>
        <v/>
      </c>
      <c r="D15" s="11" t="n">
        <v>1</v>
      </c>
      <c r="E15" s="11">
        <f>Anket_Yanitlari!O7</f>
        <v/>
      </c>
      <c r="F15" s="11">
        <f>Anket_Yanitlari!P7</f>
        <v/>
      </c>
    </row>
    <row r="16">
      <c r="A16" s="6" t="inlineStr">
        <is>
          <t>Müşteri Yorumları</t>
        </is>
      </c>
      <c r="B16" s="11">
        <f>1/E13</f>
        <v/>
      </c>
      <c r="C16" s="11">
        <f>1/E14</f>
        <v/>
      </c>
      <c r="D16" s="11">
        <f>1/E15</f>
        <v/>
      </c>
      <c r="E16" s="11" t="n">
        <v>1</v>
      </c>
      <c r="F16" s="11">
        <f>Anket_Yanitlari!Q7</f>
        <v/>
      </c>
    </row>
    <row r="17">
      <c r="A17" s="6" t="inlineStr">
        <is>
          <t>Fiyatlandırma</t>
        </is>
      </c>
      <c r="B17" s="11">
        <f>1/F13</f>
        <v/>
      </c>
      <c r="C17" s="11">
        <f>1/F14</f>
        <v/>
      </c>
      <c r="D17" s="11">
        <f>1/F15</f>
        <v/>
      </c>
      <c r="E17" s="11">
        <f>1/F16</f>
        <v/>
      </c>
      <c r="F17" s="11" t="n">
        <v>1</v>
      </c>
    </row>
    <row r="18">
      <c r="A18" s="6" t="inlineStr">
        <is>
          <t>Sütun Toplamı</t>
        </is>
      </c>
      <c r="B18" s="11">
        <f>SUM(B13:B17)</f>
        <v/>
      </c>
      <c r="C18" s="11">
        <f>SUM(C13:C17)</f>
        <v/>
      </c>
      <c r="D18" s="11">
        <f>SUM(D13:D17)</f>
        <v/>
      </c>
      <c r="E18" s="11">
        <f>SUM(E13:E17)</f>
        <v/>
      </c>
      <c r="F18" s="11">
        <f>SUM(F13:F17)</f>
        <v/>
      </c>
    </row>
    <row r="20">
      <c r="A20" s="6" t="inlineStr">
        <is>
          <t>Normalize Matris (N)</t>
        </is>
      </c>
      <c r="B20" s="10" t="n"/>
      <c r="C20" s="10" t="n"/>
      <c r="D20" s="10" t="n"/>
      <c r="E20" s="10" t="n"/>
      <c r="F20" s="7" t="n"/>
    </row>
    <row r="21">
      <c r="B21" s="6" t="inlineStr">
        <is>
          <t>Ödeme</t>
        </is>
      </c>
      <c r="C21" s="6" t="inlineStr">
        <is>
          <t>Kullanıcı Deneyimi</t>
        </is>
      </c>
      <c r="D21" s="6" t="inlineStr">
        <is>
          <t>Kargo</t>
        </is>
      </c>
      <c r="E21" s="6" t="inlineStr">
        <is>
          <t>Müşteri Yorumları</t>
        </is>
      </c>
      <c r="F21" s="6" t="inlineStr">
        <is>
          <t>Fiyatlandırma</t>
        </is>
      </c>
    </row>
    <row r="22">
      <c r="A22" s="6" t="inlineStr">
        <is>
          <t>Ödeme</t>
        </is>
      </c>
      <c r="B22" s="11">
        <f>B13/B18</f>
        <v/>
      </c>
      <c r="C22" s="11">
        <f>C13/C18</f>
        <v/>
      </c>
      <c r="D22" s="11">
        <f>D13/D18</f>
        <v/>
      </c>
      <c r="E22" s="11">
        <f>E13/E18</f>
        <v/>
      </c>
      <c r="F22" s="11">
        <f>F13/F18</f>
        <v/>
      </c>
    </row>
    <row r="23">
      <c r="A23" s="6" t="inlineStr">
        <is>
          <t>Kullanıcı Deneyimi</t>
        </is>
      </c>
      <c r="B23" s="11">
        <f>B14/B18</f>
        <v/>
      </c>
      <c r="C23" s="11">
        <f>C14/C18</f>
        <v/>
      </c>
      <c r="D23" s="11">
        <f>D14/D18</f>
        <v/>
      </c>
      <c r="E23" s="11">
        <f>E14/E18</f>
        <v/>
      </c>
      <c r="F23" s="11">
        <f>F14/F18</f>
        <v/>
      </c>
    </row>
    <row r="24">
      <c r="A24" s="6" t="inlineStr">
        <is>
          <t>Kargo</t>
        </is>
      </c>
      <c r="B24" s="11">
        <f>B15/B18</f>
        <v/>
      </c>
      <c r="C24" s="11">
        <f>C15/C18</f>
        <v/>
      </c>
      <c r="D24" s="11">
        <f>D15/D18</f>
        <v/>
      </c>
      <c r="E24" s="11">
        <f>E15/E18</f>
        <v/>
      </c>
      <c r="F24" s="11">
        <f>F15/F18</f>
        <v/>
      </c>
    </row>
    <row r="25">
      <c r="A25" s="6" t="inlineStr">
        <is>
          <t>Müşteri Yorumları</t>
        </is>
      </c>
      <c r="B25" s="11">
        <f>B16/B18</f>
        <v/>
      </c>
      <c r="C25" s="11">
        <f>C16/C18</f>
        <v/>
      </c>
      <c r="D25" s="11">
        <f>D16/D18</f>
        <v/>
      </c>
      <c r="E25" s="11">
        <f>E16/E18</f>
        <v/>
      </c>
      <c r="F25" s="11">
        <f>F16/F18</f>
        <v/>
      </c>
    </row>
    <row r="26">
      <c r="A26" s="6" t="inlineStr">
        <is>
          <t>Fiyatlandırma</t>
        </is>
      </c>
      <c r="B26" s="11">
        <f>B17/B18</f>
        <v/>
      </c>
      <c r="C26" s="11">
        <f>C17/C18</f>
        <v/>
      </c>
      <c r="D26" s="11">
        <f>D17/D18</f>
        <v/>
      </c>
      <c r="E26" s="11">
        <f>E17/E18</f>
        <v/>
      </c>
      <c r="F26" s="11">
        <f>F17/F18</f>
        <v/>
      </c>
    </row>
    <row r="28">
      <c r="A28" s="6" t="inlineStr">
        <is>
          <t>Kriter</t>
        </is>
      </c>
      <c r="B28" s="6" t="inlineStr">
        <is>
          <t>ÖZV (w)</t>
        </is>
      </c>
      <c r="C28" s="6" t="inlineStr">
        <is>
          <t>A·w</t>
        </is>
      </c>
      <c r="D28" s="6" t="inlineStr">
        <is>
          <t>A·w / w</t>
        </is>
      </c>
    </row>
    <row r="29">
      <c r="A29" s="6" t="inlineStr">
        <is>
          <t>Ödeme</t>
        </is>
      </c>
      <c r="B29" s="11">
        <f>AVERAGE(B22:F22)</f>
        <v/>
      </c>
      <c r="C29" s="11">
        <f>B13*$B$29+C13*$B$30+D13*$B$31+E13*$B$32+F13*$B$33</f>
        <v/>
      </c>
      <c r="D29" s="11">
        <f>C29/B29</f>
        <v/>
      </c>
    </row>
    <row r="30">
      <c r="A30" s="6" t="inlineStr">
        <is>
          <t>Kullanıcı Deneyimi</t>
        </is>
      </c>
      <c r="B30" s="11">
        <f>AVERAGE(B23:F23)</f>
        <v/>
      </c>
      <c r="C30" s="11">
        <f>B14*$B$29+C14*$B$30+D14*$B$31+E14*$B$32+F14*$B$33</f>
        <v/>
      </c>
      <c r="D30" s="11">
        <f>C30/B30</f>
        <v/>
      </c>
    </row>
    <row r="31">
      <c r="A31" s="6" t="inlineStr">
        <is>
          <t>Kargo</t>
        </is>
      </c>
      <c r="B31" s="11">
        <f>AVERAGE(B24:F24)</f>
        <v/>
      </c>
      <c r="C31" s="11">
        <f>B15*$B$29+C15*$B$30+D15*$B$31+E15*$B$32+F15*$B$33</f>
        <v/>
      </c>
      <c r="D31" s="11">
        <f>C31/B31</f>
        <v/>
      </c>
    </row>
    <row r="32">
      <c r="A32" s="6" t="inlineStr">
        <is>
          <t>Müşteri Yorumları</t>
        </is>
      </c>
      <c r="B32" s="11">
        <f>AVERAGE(B25:F25)</f>
        <v/>
      </c>
      <c r="C32" s="11">
        <f>B16*$B$29+C16*$B$30+D16*$B$31+E16*$B$32+F16*$B$33</f>
        <v/>
      </c>
      <c r="D32" s="11">
        <f>C32/B32</f>
        <v/>
      </c>
    </row>
    <row r="33">
      <c r="A33" s="6" t="inlineStr">
        <is>
          <t>Fiyatlandırma</t>
        </is>
      </c>
      <c r="B33" s="11">
        <f>AVERAGE(B26:F26)</f>
        <v/>
      </c>
      <c r="C33" s="11">
        <f>B17*$B$29+C17*$B$30+D17*$B$31+E17*$B$32+F17*$B$33</f>
        <v/>
      </c>
      <c r="D33" s="11">
        <f>C33/B33</f>
        <v/>
      </c>
    </row>
    <row r="34">
      <c r="A34" s="6" t="inlineStr">
        <is>
          <t>Toplam</t>
        </is>
      </c>
      <c r="B34" s="11">
        <f>SUM(B29:B33)</f>
        <v/>
      </c>
    </row>
    <row r="36">
      <c r="A36" s="6" t="inlineStr">
        <is>
          <t>λ_max (ENBÖZD)</t>
        </is>
      </c>
      <c r="B36" s="11">
        <f>AVERAGE(D29:D33)</f>
        <v/>
      </c>
    </row>
    <row r="37">
      <c r="A37" s="6" t="inlineStr">
        <is>
          <t>n (kriter sayısı)</t>
        </is>
      </c>
      <c r="B37" s="9" t="n">
        <v>5</v>
      </c>
    </row>
    <row r="38">
      <c r="A38" s="6" t="inlineStr">
        <is>
          <t>CI = (λ_max - n) / (n - 1)</t>
        </is>
      </c>
      <c r="B38" s="11">
        <f>(B36-B37)/(B37-1)</f>
        <v/>
      </c>
    </row>
    <row r="39">
      <c r="A39" s="6" t="inlineStr">
        <is>
          <t>RI (n=5)</t>
        </is>
      </c>
      <c r="B39" s="11" t="n">
        <v>1.11</v>
      </c>
    </row>
    <row r="40">
      <c r="A40" s="6" t="inlineStr">
        <is>
          <t>CR = CI / RI</t>
        </is>
      </c>
      <c r="B40" s="11">
        <f>B38/B39</f>
        <v/>
      </c>
    </row>
    <row r="41">
      <c r="A41" s="6" t="inlineStr">
        <is>
          <t>Tutarlılık Eşiği</t>
        </is>
      </c>
      <c r="B41" s="9" t="n">
        <v>0.1</v>
      </c>
    </row>
    <row r="42">
      <c r="A42" s="6" t="inlineStr">
        <is>
          <t>Durum</t>
        </is>
      </c>
      <c r="B42" s="12">
        <f>IF(B40&lt;=B41,"Tutarlı","Tutarsız")</f>
        <v/>
      </c>
    </row>
  </sheetData>
  <mergeCells count="4">
    <mergeCell ref="A20:F20"/>
    <mergeCell ref="A11:F11"/>
    <mergeCell ref="A3:B3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KATILIMCI 07 - AHP ANALİZİ</t>
        </is>
      </c>
    </row>
    <row r="3">
      <c r="A3" s="6" t="inlineStr">
        <is>
          <t>Demografik Bilgiler</t>
        </is>
      </c>
      <c r="B3" s="7" t="n"/>
    </row>
    <row r="4">
      <c r="A4" s="8" t="inlineStr">
        <is>
          <t>Cinsiyet</t>
        </is>
      </c>
      <c r="B4" s="9">
        <f>Anket_Yanitlari!B8</f>
        <v/>
      </c>
    </row>
    <row r="5">
      <c r="A5" s="8" t="inlineStr">
        <is>
          <t>Yaş</t>
        </is>
      </c>
      <c r="B5" s="9">
        <f>Anket_Yanitlari!C8</f>
        <v/>
      </c>
    </row>
    <row r="6">
      <c r="A6" s="8" t="inlineStr">
        <is>
          <t>Eğitim</t>
        </is>
      </c>
      <c r="B6" s="9">
        <f>Anket_Yanitlari!D8</f>
        <v/>
      </c>
    </row>
    <row r="7">
      <c r="A7" s="8" t="inlineStr">
        <is>
          <t>Meslek</t>
        </is>
      </c>
      <c r="B7" s="9">
        <f>Anket_Yanitlari!E8</f>
        <v/>
      </c>
    </row>
    <row r="8">
      <c r="A8" s="8" t="inlineStr">
        <is>
          <t>Alışveriş Sıklığı</t>
        </is>
      </c>
      <c r="B8" s="9">
        <f>Anket_Yanitlari!F8</f>
        <v/>
      </c>
    </row>
    <row r="9">
      <c r="A9" s="8" t="inlineStr">
        <is>
          <t>Cihaz</t>
        </is>
      </c>
      <c r="B9" s="9">
        <f>Anket_Yanitlari!G8</f>
        <v/>
      </c>
    </row>
    <row r="11">
      <c r="A11" s="6" t="inlineStr">
        <is>
          <t>İkili Karşılaştırma Matrisi (A)</t>
        </is>
      </c>
      <c r="B11" s="10" t="n"/>
      <c r="C11" s="10" t="n"/>
      <c r="D11" s="10" t="n"/>
      <c r="E11" s="10" t="n"/>
      <c r="F11" s="7" t="n"/>
    </row>
    <row r="12">
      <c r="B12" s="6" t="inlineStr">
        <is>
          <t>Ödeme</t>
        </is>
      </c>
      <c r="C12" s="6" t="inlineStr">
        <is>
          <t>Kullanıcı Deneyimi</t>
        </is>
      </c>
      <c r="D12" s="6" t="inlineStr">
        <is>
          <t>Kargo</t>
        </is>
      </c>
      <c r="E12" s="6" t="inlineStr">
        <is>
          <t>Müşteri Yorumları</t>
        </is>
      </c>
      <c r="F12" s="6" t="inlineStr">
        <is>
          <t>Fiyatlandırma</t>
        </is>
      </c>
    </row>
    <row r="13">
      <c r="A13" s="6" t="inlineStr">
        <is>
          <t>Ödeme</t>
        </is>
      </c>
      <c r="B13" s="11" t="n">
        <v>1</v>
      </c>
      <c r="C13" s="11">
        <f>Anket_Yanitlari!H8</f>
        <v/>
      </c>
      <c r="D13" s="11">
        <f>Anket_Yanitlari!I8</f>
        <v/>
      </c>
      <c r="E13" s="11">
        <f>Anket_Yanitlari!J8</f>
        <v/>
      </c>
      <c r="F13" s="11">
        <f>Anket_Yanitlari!K8</f>
        <v/>
      </c>
    </row>
    <row r="14">
      <c r="A14" s="6" t="inlineStr">
        <is>
          <t>Kullanıcı Deneyimi</t>
        </is>
      </c>
      <c r="B14" s="11">
        <f>1/C13</f>
        <v/>
      </c>
      <c r="C14" s="11" t="n">
        <v>1</v>
      </c>
      <c r="D14" s="11">
        <f>Anket_Yanitlari!L8</f>
        <v/>
      </c>
      <c r="E14" s="11">
        <f>Anket_Yanitlari!M8</f>
        <v/>
      </c>
      <c r="F14" s="11">
        <f>Anket_Yanitlari!N8</f>
        <v/>
      </c>
    </row>
    <row r="15">
      <c r="A15" s="6" t="inlineStr">
        <is>
          <t>Kargo</t>
        </is>
      </c>
      <c r="B15" s="11">
        <f>1/D13</f>
        <v/>
      </c>
      <c r="C15" s="11">
        <f>1/D14</f>
        <v/>
      </c>
      <c r="D15" s="11" t="n">
        <v>1</v>
      </c>
      <c r="E15" s="11">
        <f>Anket_Yanitlari!O8</f>
        <v/>
      </c>
      <c r="F15" s="11">
        <f>Anket_Yanitlari!P8</f>
        <v/>
      </c>
    </row>
    <row r="16">
      <c r="A16" s="6" t="inlineStr">
        <is>
          <t>Müşteri Yorumları</t>
        </is>
      </c>
      <c r="B16" s="11">
        <f>1/E13</f>
        <v/>
      </c>
      <c r="C16" s="11">
        <f>1/E14</f>
        <v/>
      </c>
      <c r="D16" s="11">
        <f>1/E15</f>
        <v/>
      </c>
      <c r="E16" s="11" t="n">
        <v>1</v>
      </c>
      <c r="F16" s="11">
        <f>Anket_Yanitlari!Q8</f>
        <v/>
      </c>
    </row>
    <row r="17">
      <c r="A17" s="6" t="inlineStr">
        <is>
          <t>Fiyatlandırma</t>
        </is>
      </c>
      <c r="B17" s="11">
        <f>1/F13</f>
        <v/>
      </c>
      <c r="C17" s="11">
        <f>1/F14</f>
        <v/>
      </c>
      <c r="D17" s="11">
        <f>1/F15</f>
        <v/>
      </c>
      <c r="E17" s="11">
        <f>1/F16</f>
        <v/>
      </c>
      <c r="F17" s="11" t="n">
        <v>1</v>
      </c>
    </row>
    <row r="18">
      <c r="A18" s="6" t="inlineStr">
        <is>
          <t>Sütun Toplamı</t>
        </is>
      </c>
      <c r="B18" s="11">
        <f>SUM(B13:B17)</f>
        <v/>
      </c>
      <c r="C18" s="11">
        <f>SUM(C13:C17)</f>
        <v/>
      </c>
      <c r="D18" s="11">
        <f>SUM(D13:D17)</f>
        <v/>
      </c>
      <c r="E18" s="11">
        <f>SUM(E13:E17)</f>
        <v/>
      </c>
      <c r="F18" s="11">
        <f>SUM(F13:F17)</f>
        <v/>
      </c>
    </row>
    <row r="20">
      <c r="A20" s="6" t="inlineStr">
        <is>
          <t>Normalize Matris (N)</t>
        </is>
      </c>
      <c r="B20" s="10" t="n"/>
      <c r="C20" s="10" t="n"/>
      <c r="D20" s="10" t="n"/>
      <c r="E20" s="10" t="n"/>
      <c r="F20" s="7" t="n"/>
    </row>
    <row r="21">
      <c r="B21" s="6" t="inlineStr">
        <is>
          <t>Ödeme</t>
        </is>
      </c>
      <c r="C21" s="6" t="inlineStr">
        <is>
          <t>Kullanıcı Deneyimi</t>
        </is>
      </c>
      <c r="D21" s="6" t="inlineStr">
        <is>
          <t>Kargo</t>
        </is>
      </c>
      <c r="E21" s="6" t="inlineStr">
        <is>
          <t>Müşteri Yorumları</t>
        </is>
      </c>
      <c r="F21" s="6" t="inlineStr">
        <is>
          <t>Fiyatlandırma</t>
        </is>
      </c>
    </row>
    <row r="22">
      <c r="A22" s="6" t="inlineStr">
        <is>
          <t>Ödeme</t>
        </is>
      </c>
      <c r="B22" s="11">
        <f>B13/B18</f>
        <v/>
      </c>
      <c r="C22" s="11">
        <f>C13/C18</f>
        <v/>
      </c>
      <c r="D22" s="11">
        <f>D13/D18</f>
        <v/>
      </c>
      <c r="E22" s="11">
        <f>E13/E18</f>
        <v/>
      </c>
      <c r="F22" s="11">
        <f>F13/F18</f>
        <v/>
      </c>
    </row>
    <row r="23">
      <c r="A23" s="6" t="inlineStr">
        <is>
          <t>Kullanıcı Deneyimi</t>
        </is>
      </c>
      <c r="B23" s="11">
        <f>B14/B18</f>
        <v/>
      </c>
      <c r="C23" s="11">
        <f>C14/C18</f>
        <v/>
      </c>
      <c r="D23" s="11">
        <f>D14/D18</f>
        <v/>
      </c>
      <c r="E23" s="11">
        <f>E14/E18</f>
        <v/>
      </c>
      <c r="F23" s="11">
        <f>F14/F18</f>
        <v/>
      </c>
    </row>
    <row r="24">
      <c r="A24" s="6" t="inlineStr">
        <is>
          <t>Kargo</t>
        </is>
      </c>
      <c r="B24" s="11">
        <f>B15/B18</f>
        <v/>
      </c>
      <c r="C24" s="11">
        <f>C15/C18</f>
        <v/>
      </c>
      <c r="D24" s="11">
        <f>D15/D18</f>
        <v/>
      </c>
      <c r="E24" s="11">
        <f>E15/E18</f>
        <v/>
      </c>
      <c r="F24" s="11">
        <f>F15/F18</f>
        <v/>
      </c>
    </row>
    <row r="25">
      <c r="A25" s="6" t="inlineStr">
        <is>
          <t>Müşteri Yorumları</t>
        </is>
      </c>
      <c r="B25" s="11">
        <f>B16/B18</f>
        <v/>
      </c>
      <c r="C25" s="11">
        <f>C16/C18</f>
        <v/>
      </c>
      <c r="D25" s="11">
        <f>D16/D18</f>
        <v/>
      </c>
      <c r="E25" s="11">
        <f>E16/E18</f>
        <v/>
      </c>
      <c r="F25" s="11">
        <f>F16/F18</f>
        <v/>
      </c>
    </row>
    <row r="26">
      <c r="A26" s="6" t="inlineStr">
        <is>
          <t>Fiyatlandırma</t>
        </is>
      </c>
      <c r="B26" s="11">
        <f>B17/B18</f>
        <v/>
      </c>
      <c r="C26" s="11">
        <f>C17/C18</f>
        <v/>
      </c>
      <c r="D26" s="11">
        <f>D17/D18</f>
        <v/>
      </c>
      <c r="E26" s="11">
        <f>E17/E18</f>
        <v/>
      </c>
      <c r="F26" s="11">
        <f>F17/F18</f>
        <v/>
      </c>
    </row>
    <row r="28">
      <c r="A28" s="6" t="inlineStr">
        <is>
          <t>Kriter</t>
        </is>
      </c>
      <c r="B28" s="6" t="inlineStr">
        <is>
          <t>ÖZV (w)</t>
        </is>
      </c>
      <c r="C28" s="6" t="inlineStr">
        <is>
          <t>A·w</t>
        </is>
      </c>
      <c r="D28" s="6" t="inlineStr">
        <is>
          <t>A·w / w</t>
        </is>
      </c>
    </row>
    <row r="29">
      <c r="A29" s="6" t="inlineStr">
        <is>
          <t>Ödeme</t>
        </is>
      </c>
      <c r="B29" s="11">
        <f>AVERAGE(B22:F22)</f>
        <v/>
      </c>
      <c r="C29" s="11">
        <f>B13*$B$29+C13*$B$30+D13*$B$31+E13*$B$32+F13*$B$33</f>
        <v/>
      </c>
      <c r="D29" s="11">
        <f>C29/B29</f>
        <v/>
      </c>
    </row>
    <row r="30">
      <c r="A30" s="6" t="inlineStr">
        <is>
          <t>Kullanıcı Deneyimi</t>
        </is>
      </c>
      <c r="B30" s="11">
        <f>AVERAGE(B23:F23)</f>
        <v/>
      </c>
      <c r="C30" s="11">
        <f>B14*$B$29+C14*$B$30+D14*$B$31+E14*$B$32+F14*$B$33</f>
        <v/>
      </c>
      <c r="D30" s="11">
        <f>C30/B30</f>
        <v/>
      </c>
    </row>
    <row r="31">
      <c r="A31" s="6" t="inlineStr">
        <is>
          <t>Kargo</t>
        </is>
      </c>
      <c r="B31" s="11">
        <f>AVERAGE(B24:F24)</f>
        <v/>
      </c>
      <c r="C31" s="11">
        <f>B15*$B$29+C15*$B$30+D15*$B$31+E15*$B$32+F15*$B$33</f>
        <v/>
      </c>
      <c r="D31" s="11">
        <f>C31/B31</f>
        <v/>
      </c>
    </row>
    <row r="32">
      <c r="A32" s="6" t="inlineStr">
        <is>
          <t>Müşteri Yorumları</t>
        </is>
      </c>
      <c r="B32" s="11">
        <f>AVERAGE(B25:F25)</f>
        <v/>
      </c>
      <c r="C32" s="11">
        <f>B16*$B$29+C16*$B$30+D16*$B$31+E16*$B$32+F16*$B$33</f>
        <v/>
      </c>
      <c r="D32" s="11">
        <f>C32/B32</f>
        <v/>
      </c>
    </row>
    <row r="33">
      <c r="A33" s="6" t="inlineStr">
        <is>
          <t>Fiyatlandırma</t>
        </is>
      </c>
      <c r="B33" s="11">
        <f>AVERAGE(B26:F26)</f>
        <v/>
      </c>
      <c r="C33" s="11">
        <f>B17*$B$29+C17*$B$30+D17*$B$31+E17*$B$32+F17*$B$33</f>
        <v/>
      </c>
      <c r="D33" s="11">
        <f>C33/B33</f>
        <v/>
      </c>
    </row>
    <row r="34">
      <c r="A34" s="6" t="inlineStr">
        <is>
          <t>Toplam</t>
        </is>
      </c>
      <c r="B34" s="11">
        <f>SUM(B29:B33)</f>
        <v/>
      </c>
    </row>
    <row r="36">
      <c r="A36" s="6" t="inlineStr">
        <is>
          <t>λ_max (ENBÖZD)</t>
        </is>
      </c>
      <c r="B36" s="11">
        <f>AVERAGE(D29:D33)</f>
        <v/>
      </c>
    </row>
    <row r="37">
      <c r="A37" s="6" t="inlineStr">
        <is>
          <t>n (kriter sayısı)</t>
        </is>
      </c>
      <c r="B37" s="9" t="n">
        <v>5</v>
      </c>
    </row>
    <row r="38">
      <c r="A38" s="6" t="inlineStr">
        <is>
          <t>CI = (λ_max - n) / (n - 1)</t>
        </is>
      </c>
      <c r="B38" s="11">
        <f>(B36-B37)/(B37-1)</f>
        <v/>
      </c>
    </row>
    <row r="39">
      <c r="A39" s="6" t="inlineStr">
        <is>
          <t>RI (n=5)</t>
        </is>
      </c>
      <c r="B39" s="11" t="n">
        <v>1.11</v>
      </c>
    </row>
    <row r="40">
      <c r="A40" s="6" t="inlineStr">
        <is>
          <t>CR = CI / RI</t>
        </is>
      </c>
      <c r="B40" s="11">
        <f>B38/B39</f>
        <v/>
      </c>
    </row>
    <row r="41">
      <c r="A41" s="6" t="inlineStr">
        <is>
          <t>Tutarlılık Eşiği</t>
        </is>
      </c>
      <c r="B41" s="9" t="n">
        <v>0.1</v>
      </c>
    </row>
    <row r="42">
      <c r="A42" s="6" t="inlineStr">
        <is>
          <t>Durum</t>
        </is>
      </c>
      <c r="B42" s="12">
        <f>IF(B40&lt;=B41,"Tutarlı","Tutarsız")</f>
        <v/>
      </c>
    </row>
  </sheetData>
  <mergeCells count="4">
    <mergeCell ref="A20:F20"/>
    <mergeCell ref="A11:F11"/>
    <mergeCell ref="A3:B3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KATILIMCI 08 - AHP ANALİZİ</t>
        </is>
      </c>
    </row>
    <row r="3">
      <c r="A3" s="6" t="inlineStr">
        <is>
          <t>Demografik Bilgiler</t>
        </is>
      </c>
      <c r="B3" s="7" t="n"/>
    </row>
    <row r="4">
      <c r="A4" s="8" t="inlineStr">
        <is>
          <t>Cinsiyet</t>
        </is>
      </c>
      <c r="B4" s="9">
        <f>Anket_Yanitlari!B9</f>
        <v/>
      </c>
    </row>
    <row r="5">
      <c r="A5" s="8" t="inlineStr">
        <is>
          <t>Yaş</t>
        </is>
      </c>
      <c r="B5" s="9">
        <f>Anket_Yanitlari!C9</f>
        <v/>
      </c>
    </row>
    <row r="6">
      <c r="A6" s="8" t="inlineStr">
        <is>
          <t>Eğitim</t>
        </is>
      </c>
      <c r="B6" s="9">
        <f>Anket_Yanitlari!D9</f>
        <v/>
      </c>
    </row>
    <row r="7">
      <c r="A7" s="8" t="inlineStr">
        <is>
          <t>Meslek</t>
        </is>
      </c>
      <c r="B7" s="9">
        <f>Anket_Yanitlari!E9</f>
        <v/>
      </c>
    </row>
    <row r="8">
      <c r="A8" s="8" t="inlineStr">
        <is>
          <t>Alışveriş Sıklığı</t>
        </is>
      </c>
      <c r="B8" s="9">
        <f>Anket_Yanitlari!F9</f>
        <v/>
      </c>
    </row>
    <row r="9">
      <c r="A9" s="8" t="inlineStr">
        <is>
          <t>Cihaz</t>
        </is>
      </c>
      <c r="B9" s="9">
        <f>Anket_Yanitlari!G9</f>
        <v/>
      </c>
    </row>
    <row r="11">
      <c r="A11" s="6" t="inlineStr">
        <is>
          <t>İkili Karşılaştırma Matrisi (A)</t>
        </is>
      </c>
      <c r="B11" s="10" t="n"/>
      <c r="C11" s="10" t="n"/>
      <c r="D11" s="10" t="n"/>
      <c r="E11" s="10" t="n"/>
      <c r="F11" s="7" t="n"/>
    </row>
    <row r="12">
      <c r="B12" s="6" t="inlineStr">
        <is>
          <t>Ödeme</t>
        </is>
      </c>
      <c r="C12" s="6" t="inlineStr">
        <is>
          <t>Kullanıcı Deneyimi</t>
        </is>
      </c>
      <c r="D12" s="6" t="inlineStr">
        <is>
          <t>Kargo</t>
        </is>
      </c>
      <c r="E12" s="6" t="inlineStr">
        <is>
          <t>Müşteri Yorumları</t>
        </is>
      </c>
      <c r="F12" s="6" t="inlineStr">
        <is>
          <t>Fiyatlandırma</t>
        </is>
      </c>
    </row>
    <row r="13">
      <c r="A13" s="6" t="inlineStr">
        <is>
          <t>Ödeme</t>
        </is>
      </c>
      <c r="B13" s="11" t="n">
        <v>1</v>
      </c>
      <c r="C13" s="11">
        <f>Anket_Yanitlari!H9</f>
        <v/>
      </c>
      <c r="D13" s="11">
        <f>Anket_Yanitlari!I9</f>
        <v/>
      </c>
      <c r="E13" s="11">
        <f>Anket_Yanitlari!J9</f>
        <v/>
      </c>
      <c r="F13" s="11">
        <f>Anket_Yanitlari!K9</f>
        <v/>
      </c>
    </row>
    <row r="14">
      <c r="A14" s="6" t="inlineStr">
        <is>
          <t>Kullanıcı Deneyimi</t>
        </is>
      </c>
      <c r="B14" s="11">
        <f>1/C13</f>
        <v/>
      </c>
      <c r="C14" s="11" t="n">
        <v>1</v>
      </c>
      <c r="D14" s="11">
        <f>Anket_Yanitlari!L9</f>
        <v/>
      </c>
      <c r="E14" s="11">
        <f>Anket_Yanitlari!M9</f>
        <v/>
      </c>
      <c r="F14" s="11">
        <f>Anket_Yanitlari!N9</f>
        <v/>
      </c>
    </row>
    <row r="15">
      <c r="A15" s="6" t="inlineStr">
        <is>
          <t>Kargo</t>
        </is>
      </c>
      <c r="B15" s="11">
        <f>1/D13</f>
        <v/>
      </c>
      <c r="C15" s="11">
        <f>1/D14</f>
        <v/>
      </c>
      <c r="D15" s="11" t="n">
        <v>1</v>
      </c>
      <c r="E15" s="11">
        <f>Anket_Yanitlari!O9</f>
        <v/>
      </c>
      <c r="F15" s="11">
        <f>Anket_Yanitlari!P9</f>
        <v/>
      </c>
    </row>
    <row r="16">
      <c r="A16" s="6" t="inlineStr">
        <is>
          <t>Müşteri Yorumları</t>
        </is>
      </c>
      <c r="B16" s="11">
        <f>1/E13</f>
        <v/>
      </c>
      <c r="C16" s="11">
        <f>1/E14</f>
        <v/>
      </c>
      <c r="D16" s="11">
        <f>1/E15</f>
        <v/>
      </c>
      <c r="E16" s="11" t="n">
        <v>1</v>
      </c>
      <c r="F16" s="11">
        <f>Anket_Yanitlari!Q9</f>
        <v/>
      </c>
    </row>
    <row r="17">
      <c r="A17" s="6" t="inlineStr">
        <is>
          <t>Fiyatlandırma</t>
        </is>
      </c>
      <c r="B17" s="11">
        <f>1/F13</f>
        <v/>
      </c>
      <c r="C17" s="11">
        <f>1/F14</f>
        <v/>
      </c>
      <c r="D17" s="11">
        <f>1/F15</f>
        <v/>
      </c>
      <c r="E17" s="11">
        <f>1/F16</f>
        <v/>
      </c>
      <c r="F17" s="11" t="n">
        <v>1</v>
      </c>
    </row>
    <row r="18">
      <c r="A18" s="6" t="inlineStr">
        <is>
          <t>Sütun Toplamı</t>
        </is>
      </c>
      <c r="B18" s="11">
        <f>SUM(B13:B17)</f>
        <v/>
      </c>
      <c r="C18" s="11">
        <f>SUM(C13:C17)</f>
        <v/>
      </c>
      <c r="D18" s="11">
        <f>SUM(D13:D17)</f>
        <v/>
      </c>
      <c r="E18" s="11">
        <f>SUM(E13:E17)</f>
        <v/>
      </c>
      <c r="F18" s="11">
        <f>SUM(F13:F17)</f>
        <v/>
      </c>
    </row>
    <row r="20">
      <c r="A20" s="6" t="inlineStr">
        <is>
          <t>Normalize Matris (N)</t>
        </is>
      </c>
      <c r="B20" s="10" t="n"/>
      <c r="C20" s="10" t="n"/>
      <c r="D20" s="10" t="n"/>
      <c r="E20" s="10" t="n"/>
      <c r="F20" s="7" t="n"/>
    </row>
    <row r="21">
      <c r="B21" s="6" t="inlineStr">
        <is>
          <t>Ödeme</t>
        </is>
      </c>
      <c r="C21" s="6" t="inlineStr">
        <is>
          <t>Kullanıcı Deneyimi</t>
        </is>
      </c>
      <c r="D21" s="6" t="inlineStr">
        <is>
          <t>Kargo</t>
        </is>
      </c>
      <c r="E21" s="6" t="inlineStr">
        <is>
          <t>Müşteri Yorumları</t>
        </is>
      </c>
      <c r="F21" s="6" t="inlineStr">
        <is>
          <t>Fiyatlandırma</t>
        </is>
      </c>
    </row>
    <row r="22">
      <c r="A22" s="6" t="inlineStr">
        <is>
          <t>Ödeme</t>
        </is>
      </c>
      <c r="B22" s="11">
        <f>B13/B18</f>
        <v/>
      </c>
      <c r="C22" s="11">
        <f>C13/C18</f>
        <v/>
      </c>
      <c r="D22" s="11">
        <f>D13/D18</f>
        <v/>
      </c>
      <c r="E22" s="11">
        <f>E13/E18</f>
        <v/>
      </c>
      <c r="F22" s="11">
        <f>F13/F18</f>
        <v/>
      </c>
    </row>
    <row r="23">
      <c r="A23" s="6" t="inlineStr">
        <is>
          <t>Kullanıcı Deneyimi</t>
        </is>
      </c>
      <c r="B23" s="11">
        <f>B14/B18</f>
        <v/>
      </c>
      <c r="C23" s="11">
        <f>C14/C18</f>
        <v/>
      </c>
      <c r="D23" s="11">
        <f>D14/D18</f>
        <v/>
      </c>
      <c r="E23" s="11">
        <f>E14/E18</f>
        <v/>
      </c>
      <c r="F23" s="11">
        <f>F14/F18</f>
        <v/>
      </c>
    </row>
    <row r="24">
      <c r="A24" s="6" t="inlineStr">
        <is>
          <t>Kargo</t>
        </is>
      </c>
      <c r="B24" s="11">
        <f>B15/B18</f>
        <v/>
      </c>
      <c r="C24" s="11">
        <f>C15/C18</f>
        <v/>
      </c>
      <c r="D24" s="11">
        <f>D15/D18</f>
        <v/>
      </c>
      <c r="E24" s="11">
        <f>E15/E18</f>
        <v/>
      </c>
      <c r="F24" s="11">
        <f>F15/F18</f>
        <v/>
      </c>
    </row>
    <row r="25">
      <c r="A25" s="6" t="inlineStr">
        <is>
          <t>Müşteri Yorumları</t>
        </is>
      </c>
      <c r="B25" s="11">
        <f>B16/B18</f>
        <v/>
      </c>
      <c r="C25" s="11">
        <f>C16/C18</f>
        <v/>
      </c>
      <c r="D25" s="11">
        <f>D16/D18</f>
        <v/>
      </c>
      <c r="E25" s="11">
        <f>E16/E18</f>
        <v/>
      </c>
      <c r="F25" s="11">
        <f>F16/F18</f>
        <v/>
      </c>
    </row>
    <row r="26">
      <c r="A26" s="6" t="inlineStr">
        <is>
          <t>Fiyatlandırma</t>
        </is>
      </c>
      <c r="B26" s="11">
        <f>B17/B18</f>
        <v/>
      </c>
      <c r="C26" s="11">
        <f>C17/C18</f>
        <v/>
      </c>
      <c r="D26" s="11">
        <f>D17/D18</f>
        <v/>
      </c>
      <c r="E26" s="11">
        <f>E17/E18</f>
        <v/>
      </c>
      <c r="F26" s="11">
        <f>F17/F18</f>
        <v/>
      </c>
    </row>
    <row r="28">
      <c r="A28" s="6" t="inlineStr">
        <is>
          <t>Kriter</t>
        </is>
      </c>
      <c r="B28" s="6" t="inlineStr">
        <is>
          <t>ÖZV (w)</t>
        </is>
      </c>
      <c r="C28" s="6" t="inlineStr">
        <is>
          <t>A·w</t>
        </is>
      </c>
      <c r="D28" s="6" t="inlineStr">
        <is>
          <t>A·w / w</t>
        </is>
      </c>
    </row>
    <row r="29">
      <c r="A29" s="6" t="inlineStr">
        <is>
          <t>Ödeme</t>
        </is>
      </c>
      <c r="B29" s="11">
        <f>AVERAGE(B22:F22)</f>
        <v/>
      </c>
      <c r="C29" s="11">
        <f>B13*$B$29+C13*$B$30+D13*$B$31+E13*$B$32+F13*$B$33</f>
        <v/>
      </c>
      <c r="D29" s="11">
        <f>C29/B29</f>
        <v/>
      </c>
    </row>
    <row r="30">
      <c r="A30" s="6" t="inlineStr">
        <is>
          <t>Kullanıcı Deneyimi</t>
        </is>
      </c>
      <c r="B30" s="11">
        <f>AVERAGE(B23:F23)</f>
        <v/>
      </c>
      <c r="C30" s="11">
        <f>B14*$B$29+C14*$B$30+D14*$B$31+E14*$B$32+F14*$B$33</f>
        <v/>
      </c>
      <c r="D30" s="11">
        <f>C30/B30</f>
        <v/>
      </c>
    </row>
    <row r="31">
      <c r="A31" s="6" t="inlineStr">
        <is>
          <t>Kargo</t>
        </is>
      </c>
      <c r="B31" s="11">
        <f>AVERAGE(B24:F24)</f>
        <v/>
      </c>
      <c r="C31" s="11">
        <f>B15*$B$29+C15*$B$30+D15*$B$31+E15*$B$32+F15*$B$33</f>
        <v/>
      </c>
      <c r="D31" s="11">
        <f>C31/B31</f>
        <v/>
      </c>
    </row>
    <row r="32">
      <c r="A32" s="6" t="inlineStr">
        <is>
          <t>Müşteri Yorumları</t>
        </is>
      </c>
      <c r="B32" s="11">
        <f>AVERAGE(B25:F25)</f>
        <v/>
      </c>
      <c r="C32" s="11">
        <f>B16*$B$29+C16*$B$30+D16*$B$31+E16*$B$32+F16*$B$33</f>
        <v/>
      </c>
      <c r="D32" s="11">
        <f>C32/B32</f>
        <v/>
      </c>
    </row>
    <row r="33">
      <c r="A33" s="6" t="inlineStr">
        <is>
          <t>Fiyatlandırma</t>
        </is>
      </c>
      <c r="B33" s="11">
        <f>AVERAGE(B26:F26)</f>
        <v/>
      </c>
      <c r="C33" s="11">
        <f>B17*$B$29+C17*$B$30+D17*$B$31+E17*$B$32+F17*$B$33</f>
        <v/>
      </c>
      <c r="D33" s="11">
        <f>C33/B33</f>
        <v/>
      </c>
    </row>
    <row r="34">
      <c r="A34" s="6" t="inlineStr">
        <is>
          <t>Toplam</t>
        </is>
      </c>
      <c r="B34" s="11">
        <f>SUM(B29:B33)</f>
        <v/>
      </c>
    </row>
    <row r="36">
      <c r="A36" s="6" t="inlineStr">
        <is>
          <t>λ_max (ENBÖZD)</t>
        </is>
      </c>
      <c r="B36" s="11">
        <f>AVERAGE(D29:D33)</f>
        <v/>
      </c>
    </row>
    <row r="37">
      <c r="A37" s="6" t="inlineStr">
        <is>
          <t>n (kriter sayısı)</t>
        </is>
      </c>
      <c r="B37" s="9" t="n">
        <v>5</v>
      </c>
    </row>
    <row r="38">
      <c r="A38" s="6" t="inlineStr">
        <is>
          <t>CI = (λ_max - n) / (n - 1)</t>
        </is>
      </c>
      <c r="B38" s="11">
        <f>(B36-B37)/(B37-1)</f>
        <v/>
      </c>
    </row>
    <row r="39">
      <c r="A39" s="6" t="inlineStr">
        <is>
          <t>RI (n=5)</t>
        </is>
      </c>
      <c r="B39" s="11" t="n">
        <v>1.11</v>
      </c>
    </row>
    <row r="40">
      <c r="A40" s="6" t="inlineStr">
        <is>
          <t>CR = CI / RI</t>
        </is>
      </c>
      <c r="B40" s="11">
        <f>B38/B39</f>
        <v/>
      </c>
    </row>
    <row r="41">
      <c r="A41" s="6" t="inlineStr">
        <is>
          <t>Tutarlılık Eşiği</t>
        </is>
      </c>
      <c r="B41" s="9" t="n">
        <v>0.1</v>
      </c>
    </row>
    <row r="42">
      <c r="A42" s="6" t="inlineStr">
        <is>
          <t>Durum</t>
        </is>
      </c>
      <c r="B42" s="12">
        <f>IF(B40&lt;=B41,"Tutarlı","Tutarsız")</f>
        <v/>
      </c>
    </row>
  </sheetData>
  <mergeCells count="4">
    <mergeCell ref="A20:F20"/>
    <mergeCell ref="A11:F11"/>
    <mergeCell ref="A3:B3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KATILIMCI 09 - AHP ANALİZİ</t>
        </is>
      </c>
    </row>
    <row r="3">
      <c r="A3" s="6" t="inlineStr">
        <is>
          <t>Demografik Bilgiler</t>
        </is>
      </c>
      <c r="B3" s="7" t="n"/>
    </row>
    <row r="4">
      <c r="A4" s="8" t="inlineStr">
        <is>
          <t>Cinsiyet</t>
        </is>
      </c>
      <c r="B4" s="9">
        <f>Anket_Yanitlari!B10</f>
        <v/>
      </c>
    </row>
    <row r="5">
      <c r="A5" s="8" t="inlineStr">
        <is>
          <t>Yaş</t>
        </is>
      </c>
      <c r="B5" s="9">
        <f>Anket_Yanitlari!C10</f>
        <v/>
      </c>
    </row>
    <row r="6">
      <c r="A6" s="8" t="inlineStr">
        <is>
          <t>Eğitim</t>
        </is>
      </c>
      <c r="B6" s="9">
        <f>Anket_Yanitlari!D10</f>
        <v/>
      </c>
    </row>
    <row r="7">
      <c r="A7" s="8" t="inlineStr">
        <is>
          <t>Meslek</t>
        </is>
      </c>
      <c r="B7" s="9">
        <f>Anket_Yanitlari!E10</f>
        <v/>
      </c>
    </row>
    <row r="8">
      <c r="A8" s="8" t="inlineStr">
        <is>
          <t>Alışveriş Sıklığı</t>
        </is>
      </c>
      <c r="B8" s="9">
        <f>Anket_Yanitlari!F10</f>
        <v/>
      </c>
    </row>
    <row r="9">
      <c r="A9" s="8" t="inlineStr">
        <is>
          <t>Cihaz</t>
        </is>
      </c>
      <c r="B9" s="9">
        <f>Anket_Yanitlari!G10</f>
        <v/>
      </c>
    </row>
    <row r="11">
      <c r="A11" s="6" t="inlineStr">
        <is>
          <t>İkili Karşılaştırma Matrisi (A)</t>
        </is>
      </c>
      <c r="B11" s="10" t="n"/>
      <c r="C11" s="10" t="n"/>
      <c r="D11" s="10" t="n"/>
      <c r="E11" s="10" t="n"/>
      <c r="F11" s="7" t="n"/>
    </row>
    <row r="12">
      <c r="B12" s="6" t="inlineStr">
        <is>
          <t>Ödeme</t>
        </is>
      </c>
      <c r="C12" s="6" t="inlineStr">
        <is>
          <t>Kullanıcı Deneyimi</t>
        </is>
      </c>
      <c r="D12" s="6" t="inlineStr">
        <is>
          <t>Kargo</t>
        </is>
      </c>
      <c r="E12" s="6" t="inlineStr">
        <is>
          <t>Müşteri Yorumları</t>
        </is>
      </c>
      <c r="F12" s="6" t="inlineStr">
        <is>
          <t>Fiyatlandırma</t>
        </is>
      </c>
    </row>
    <row r="13">
      <c r="A13" s="6" t="inlineStr">
        <is>
          <t>Ödeme</t>
        </is>
      </c>
      <c r="B13" s="11" t="n">
        <v>1</v>
      </c>
      <c r="C13" s="11">
        <f>Anket_Yanitlari!H10</f>
        <v/>
      </c>
      <c r="D13" s="11">
        <f>Anket_Yanitlari!I10</f>
        <v/>
      </c>
      <c r="E13" s="11">
        <f>Anket_Yanitlari!J10</f>
        <v/>
      </c>
      <c r="F13" s="11">
        <f>Anket_Yanitlari!K10</f>
        <v/>
      </c>
    </row>
    <row r="14">
      <c r="A14" s="6" t="inlineStr">
        <is>
          <t>Kullanıcı Deneyimi</t>
        </is>
      </c>
      <c r="B14" s="11">
        <f>1/C13</f>
        <v/>
      </c>
      <c r="C14" s="11" t="n">
        <v>1</v>
      </c>
      <c r="D14" s="11">
        <f>Anket_Yanitlari!L10</f>
        <v/>
      </c>
      <c r="E14" s="11">
        <f>Anket_Yanitlari!M10</f>
        <v/>
      </c>
      <c r="F14" s="11">
        <f>Anket_Yanitlari!N10</f>
        <v/>
      </c>
    </row>
    <row r="15">
      <c r="A15" s="6" t="inlineStr">
        <is>
          <t>Kargo</t>
        </is>
      </c>
      <c r="B15" s="11">
        <f>1/D13</f>
        <v/>
      </c>
      <c r="C15" s="11">
        <f>1/D14</f>
        <v/>
      </c>
      <c r="D15" s="11" t="n">
        <v>1</v>
      </c>
      <c r="E15" s="11">
        <f>Anket_Yanitlari!O10</f>
        <v/>
      </c>
      <c r="F15" s="11">
        <f>Anket_Yanitlari!P10</f>
        <v/>
      </c>
    </row>
    <row r="16">
      <c r="A16" s="6" t="inlineStr">
        <is>
          <t>Müşteri Yorumları</t>
        </is>
      </c>
      <c r="B16" s="11">
        <f>1/E13</f>
        <v/>
      </c>
      <c r="C16" s="11">
        <f>1/E14</f>
        <v/>
      </c>
      <c r="D16" s="11">
        <f>1/E15</f>
        <v/>
      </c>
      <c r="E16" s="11" t="n">
        <v>1</v>
      </c>
      <c r="F16" s="11">
        <f>Anket_Yanitlari!Q10</f>
        <v/>
      </c>
    </row>
    <row r="17">
      <c r="A17" s="6" t="inlineStr">
        <is>
          <t>Fiyatlandırma</t>
        </is>
      </c>
      <c r="B17" s="11">
        <f>1/F13</f>
        <v/>
      </c>
      <c r="C17" s="11">
        <f>1/F14</f>
        <v/>
      </c>
      <c r="D17" s="11">
        <f>1/F15</f>
        <v/>
      </c>
      <c r="E17" s="11">
        <f>1/F16</f>
        <v/>
      </c>
      <c r="F17" s="11" t="n">
        <v>1</v>
      </c>
    </row>
    <row r="18">
      <c r="A18" s="6" t="inlineStr">
        <is>
          <t>Sütun Toplamı</t>
        </is>
      </c>
      <c r="B18" s="11">
        <f>SUM(B13:B17)</f>
        <v/>
      </c>
      <c r="C18" s="11">
        <f>SUM(C13:C17)</f>
        <v/>
      </c>
      <c r="D18" s="11">
        <f>SUM(D13:D17)</f>
        <v/>
      </c>
      <c r="E18" s="11">
        <f>SUM(E13:E17)</f>
        <v/>
      </c>
      <c r="F18" s="11">
        <f>SUM(F13:F17)</f>
        <v/>
      </c>
    </row>
    <row r="20">
      <c r="A20" s="6" t="inlineStr">
        <is>
          <t>Normalize Matris (N)</t>
        </is>
      </c>
      <c r="B20" s="10" t="n"/>
      <c r="C20" s="10" t="n"/>
      <c r="D20" s="10" t="n"/>
      <c r="E20" s="10" t="n"/>
      <c r="F20" s="7" t="n"/>
    </row>
    <row r="21">
      <c r="B21" s="6" t="inlineStr">
        <is>
          <t>Ödeme</t>
        </is>
      </c>
      <c r="C21" s="6" t="inlineStr">
        <is>
          <t>Kullanıcı Deneyimi</t>
        </is>
      </c>
      <c r="D21" s="6" t="inlineStr">
        <is>
          <t>Kargo</t>
        </is>
      </c>
      <c r="E21" s="6" t="inlineStr">
        <is>
          <t>Müşteri Yorumları</t>
        </is>
      </c>
      <c r="F21" s="6" t="inlineStr">
        <is>
          <t>Fiyatlandırma</t>
        </is>
      </c>
    </row>
    <row r="22">
      <c r="A22" s="6" t="inlineStr">
        <is>
          <t>Ödeme</t>
        </is>
      </c>
      <c r="B22" s="11">
        <f>B13/B18</f>
        <v/>
      </c>
      <c r="C22" s="11">
        <f>C13/C18</f>
        <v/>
      </c>
      <c r="D22" s="11">
        <f>D13/D18</f>
        <v/>
      </c>
      <c r="E22" s="11">
        <f>E13/E18</f>
        <v/>
      </c>
      <c r="F22" s="11">
        <f>F13/F18</f>
        <v/>
      </c>
    </row>
    <row r="23">
      <c r="A23" s="6" t="inlineStr">
        <is>
          <t>Kullanıcı Deneyimi</t>
        </is>
      </c>
      <c r="B23" s="11">
        <f>B14/B18</f>
        <v/>
      </c>
      <c r="C23" s="11">
        <f>C14/C18</f>
        <v/>
      </c>
      <c r="D23" s="11">
        <f>D14/D18</f>
        <v/>
      </c>
      <c r="E23" s="11">
        <f>E14/E18</f>
        <v/>
      </c>
      <c r="F23" s="11">
        <f>F14/F18</f>
        <v/>
      </c>
    </row>
    <row r="24">
      <c r="A24" s="6" t="inlineStr">
        <is>
          <t>Kargo</t>
        </is>
      </c>
      <c r="B24" s="11">
        <f>B15/B18</f>
        <v/>
      </c>
      <c r="C24" s="11">
        <f>C15/C18</f>
        <v/>
      </c>
      <c r="D24" s="11">
        <f>D15/D18</f>
        <v/>
      </c>
      <c r="E24" s="11">
        <f>E15/E18</f>
        <v/>
      </c>
      <c r="F24" s="11">
        <f>F15/F18</f>
        <v/>
      </c>
    </row>
    <row r="25">
      <c r="A25" s="6" t="inlineStr">
        <is>
          <t>Müşteri Yorumları</t>
        </is>
      </c>
      <c r="B25" s="11">
        <f>B16/B18</f>
        <v/>
      </c>
      <c r="C25" s="11">
        <f>C16/C18</f>
        <v/>
      </c>
      <c r="D25" s="11">
        <f>D16/D18</f>
        <v/>
      </c>
      <c r="E25" s="11">
        <f>E16/E18</f>
        <v/>
      </c>
      <c r="F25" s="11">
        <f>F16/F18</f>
        <v/>
      </c>
    </row>
    <row r="26">
      <c r="A26" s="6" t="inlineStr">
        <is>
          <t>Fiyatlandırma</t>
        </is>
      </c>
      <c r="B26" s="11">
        <f>B17/B18</f>
        <v/>
      </c>
      <c r="C26" s="11">
        <f>C17/C18</f>
        <v/>
      </c>
      <c r="D26" s="11">
        <f>D17/D18</f>
        <v/>
      </c>
      <c r="E26" s="11">
        <f>E17/E18</f>
        <v/>
      </c>
      <c r="F26" s="11">
        <f>F17/F18</f>
        <v/>
      </c>
    </row>
    <row r="28">
      <c r="A28" s="6" t="inlineStr">
        <is>
          <t>Kriter</t>
        </is>
      </c>
      <c r="B28" s="6" t="inlineStr">
        <is>
          <t>ÖZV (w)</t>
        </is>
      </c>
      <c r="C28" s="6" t="inlineStr">
        <is>
          <t>A·w</t>
        </is>
      </c>
      <c r="D28" s="6" t="inlineStr">
        <is>
          <t>A·w / w</t>
        </is>
      </c>
    </row>
    <row r="29">
      <c r="A29" s="6" t="inlineStr">
        <is>
          <t>Ödeme</t>
        </is>
      </c>
      <c r="B29" s="11">
        <f>AVERAGE(B22:F22)</f>
        <v/>
      </c>
      <c r="C29" s="11">
        <f>B13*$B$29+C13*$B$30+D13*$B$31+E13*$B$32+F13*$B$33</f>
        <v/>
      </c>
      <c r="D29" s="11">
        <f>C29/B29</f>
        <v/>
      </c>
    </row>
    <row r="30">
      <c r="A30" s="6" t="inlineStr">
        <is>
          <t>Kullanıcı Deneyimi</t>
        </is>
      </c>
      <c r="B30" s="11">
        <f>AVERAGE(B23:F23)</f>
        <v/>
      </c>
      <c r="C30" s="11">
        <f>B14*$B$29+C14*$B$30+D14*$B$31+E14*$B$32+F14*$B$33</f>
        <v/>
      </c>
      <c r="D30" s="11">
        <f>C30/B30</f>
        <v/>
      </c>
    </row>
    <row r="31">
      <c r="A31" s="6" t="inlineStr">
        <is>
          <t>Kargo</t>
        </is>
      </c>
      <c r="B31" s="11">
        <f>AVERAGE(B24:F24)</f>
        <v/>
      </c>
      <c r="C31" s="11">
        <f>B15*$B$29+C15*$B$30+D15*$B$31+E15*$B$32+F15*$B$33</f>
        <v/>
      </c>
      <c r="D31" s="11">
        <f>C31/B31</f>
        <v/>
      </c>
    </row>
    <row r="32">
      <c r="A32" s="6" t="inlineStr">
        <is>
          <t>Müşteri Yorumları</t>
        </is>
      </c>
      <c r="B32" s="11">
        <f>AVERAGE(B25:F25)</f>
        <v/>
      </c>
      <c r="C32" s="11">
        <f>B16*$B$29+C16*$B$30+D16*$B$31+E16*$B$32+F16*$B$33</f>
        <v/>
      </c>
      <c r="D32" s="11">
        <f>C32/B32</f>
        <v/>
      </c>
    </row>
    <row r="33">
      <c r="A33" s="6" t="inlineStr">
        <is>
          <t>Fiyatlandırma</t>
        </is>
      </c>
      <c r="B33" s="11">
        <f>AVERAGE(B26:F26)</f>
        <v/>
      </c>
      <c r="C33" s="11">
        <f>B17*$B$29+C17*$B$30+D17*$B$31+E17*$B$32+F17*$B$33</f>
        <v/>
      </c>
      <c r="D33" s="11">
        <f>C33/B33</f>
        <v/>
      </c>
    </row>
    <row r="34">
      <c r="A34" s="6" t="inlineStr">
        <is>
          <t>Toplam</t>
        </is>
      </c>
      <c r="B34" s="11">
        <f>SUM(B29:B33)</f>
        <v/>
      </c>
    </row>
    <row r="36">
      <c r="A36" s="6" t="inlineStr">
        <is>
          <t>λ_max (ENBÖZD)</t>
        </is>
      </c>
      <c r="B36" s="11">
        <f>AVERAGE(D29:D33)</f>
        <v/>
      </c>
    </row>
    <row r="37">
      <c r="A37" s="6" t="inlineStr">
        <is>
          <t>n (kriter sayısı)</t>
        </is>
      </c>
      <c r="B37" s="9" t="n">
        <v>5</v>
      </c>
    </row>
    <row r="38">
      <c r="A38" s="6" t="inlineStr">
        <is>
          <t>CI = (λ_max - n) / (n - 1)</t>
        </is>
      </c>
      <c r="B38" s="11">
        <f>(B36-B37)/(B37-1)</f>
        <v/>
      </c>
    </row>
    <row r="39">
      <c r="A39" s="6" t="inlineStr">
        <is>
          <t>RI (n=5)</t>
        </is>
      </c>
      <c r="B39" s="11" t="n">
        <v>1.11</v>
      </c>
    </row>
    <row r="40">
      <c r="A40" s="6" t="inlineStr">
        <is>
          <t>CR = CI / RI</t>
        </is>
      </c>
      <c r="B40" s="11">
        <f>B38/B39</f>
        <v/>
      </c>
    </row>
    <row r="41">
      <c r="A41" s="6" t="inlineStr">
        <is>
          <t>Tutarlılık Eşiği</t>
        </is>
      </c>
      <c r="B41" s="9" t="n">
        <v>0.1</v>
      </c>
    </row>
    <row r="42">
      <c r="A42" s="6" t="inlineStr">
        <is>
          <t>Durum</t>
        </is>
      </c>
      <c r="B42" s="12">
        <f>IF(B40&lt;=B41,"Tutarlı","Tutarsız")</f>
        <v/>
      </c>
    </row>
  </sheetData>
  <mergeCells count="4">
    <mergeCell ref="A20:F20"/>
    <mergeCell ref="A11:F11"/>
    <mergeCell ref="A3:B3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KATILIMCI 10 - AHP ANALİZİ</t>
        </is>
      </c>
    </row>
    <row r="3">
      <c r="A3" s="6" t="inlineStr">
        <is>
          <t>Demografik Bilgiler</t>
        </is>
      </c>
      <c r="B3" s="7" t="n"/>
    </row>
    <row r="4">
      <c r="A4" s="8" t="inlineStr">
        <is>
          <t>Cinsiyet</t>
        </is>
      </c>
      <c r="B4" s="9">
        <f>Anket_Yanitlari!B11</f>
        <v/>
      </c>
    </row>
    <row r="5">
      <c r="A5" s="8" t="inlineStr">
        <is>
          <t>Yaş</t>
        </is>
      </c>
      <c r="B5" s="9">
        <f>Anket_Yanitlari!C11</f>
        <v/>
      </c>
    </row>
    <row r="6">
      <c r="A6" s="8" t="inlineStr">
        <is>
          <t>Eğitim</t>
        </is>
      </c>
      <c r="B6" s="9">
        <f>Anket_Yanitlari!D11</f>
        <v/>
      </c>
    </row>
    <row r="7">
      <c r="A7" s="8" t="inlineStr">
        <is>
          <t>Meslek</t>
        </is>
      </c>
      <c r="B7" s="9">
        <f>Anket_Yanitlari!E11</f>
        <v/>
      </c>
    </row>
    <row r="8">
      <c r="A8" s="8" t="inlineStr">
        <is>
          <t>Alışveriş Sıklığı</t>
        </is>
      </c>
      <c r="B8" s="9">
        <f>Anket_Yanitlari!F11</f>
        <v/>
      </c>
    </row>
    <row r="9">
      <c r="A9" s="8" t="inlineStr">
        <is>
          <t>Cihaz</t>
        </is>
      </c>
      <c r="B9" s="9">
        <f>Anket_Yanitlari!G11</f>
        <v/>
      </c>
    </row>
    <row r="11">
      <c r="A11" s="6" t="inlineStr">
        <is>
          <t>İkili Karşılaştırma Matrisi (A)</t>
        </is>
      </c>
      <c r="B11" s="10" t="n"/>
      <c r="C11" s="10" t="n"/>
      <c r="D11" s="10" t="n"/>
      <c r="E11" s="10" t="n"/>
      <c r="F11" s="7" t="n"/>
    </row>
    <row r="12">
      <c r="B12" s="6" t="inlineStr">
        <is>
          <t>Ödeme</t>
        </is>
      </c>
      <c r="C12" s="6" t="inlineStr">
        <is>
          <t>Kullanıcı Deneyimi</t>
        </is>
      </c>
      <c r="D12" s="6" t="inlineStr">
        <is>
          <t>Kargo</t>
        </is>
      </c>
      <c r="E12" s="6" t="inlineStr">
        <is>
          <t>Müşteri Yorumları</t>
        </is>
      </c>
      <c r="F12" s="6" t="inlineStr">
        <is>
          <t>Fiyatlandırma</t>
        </is>
      </c>
    </row>
    <row r="13">
      <c r="A13" s="6" t="inlineStr">
        <is>
          <t>Ödeme</t>
        </is>
      </c>
      <c r="B13" s="11" t="n">
        <v>1</v>
      </c>
      <c r="C13" s="11">
        <f>Anket_Yanitlari!H11</f>
        <v/>
      </c>
      <c r="D13" s="11">
        <f>Anket_Yanitlari!I11</f>
        <v/>
      </c>
      <c r="E13" s="11">
        <f>Anket_Yanitlari!J11</f>
        <v/>
      </c>
      <c r="F13" s="11">
        <f>Anket_Yanitlari!K11</f>
        <v/>
      </c>
    </row>
    <row r="14">
      <c r="A14" s="6" t="inlineStr">
        <is>
          <t>Kullanıcı Deneyimi</t>
        </is>
      </c>
      <c r="B14" s="11">
        <f>1/C13</f>
        <v/>
      </c>
      <c r="C14" s="11" t="n">
        <v>1</v>
      </c>
      <c r="D14" s="11">
        <f>Anket_Yanitlari!L11</f>
        <v/>
      </c>
      <c r="E14" s="11">
        <f>Anket_Yanitlari!M11</f>
        <v/>
      </c>
      <c r="F14" s="11">
        <f>Anket_Yanitlari!N11</f>
        <v/>
      </c>
    </row>
    <row r="15">
      <c r="A15" s="6" t="inlineStr">
        <is>
          <t>Kargo</t>
        </is>
      </c>
      <c r="B15" s="11">
        <f>1/D13</f>
        <v/>
      </c>
      <c r="C15" s="11">
        <f>1/D14</f>
        <v/>
      </c>
      <c r="D15" s="11" t="n">
        <v>1</v>
      </c>
      <c r="E15" s="11">
        <f>Anket_Yanitlari!O11</f>
        <v/>
      </c>
      <c r="F15" s="11">
        <f>Anket_Yanitlari!P11</f>
        <v/>
      </c>
    </row>
    <row r="16">
      <c r="A16" s="6" t="inlineStr">
        <is>
          <t>Müşteri Yorumları</t>
        </is>
      </c>
      <c r="B16" s="11">
        <f>1/E13</f>
        <v/>
      </c>
      <c r="C16" s="11">
        <f>1/E14</f>
        <v/>
      </c>
      <c r="D16" s="11">
        <f>1/E15</f>
        <v/>
      </c>
      <c r="E16" s="11" t="n">
        <v>1</v>
      </c>
      <c r="F16" s="11">
        <f>Anket_Yanitlari!Q11</f>
        <v/>
      </c>
    </row>
    <row r="17">
      <c r="A17" s="6" t="inlineStr">
        <is>
          <t>Fiyatlandırma</t>
        </is>
      </c>
      <c r="B17" s="11">
        <f>1/F13</f>
        <v/>
      </c>
      <c r="C17" s="11">
        <f>1/F14</f>
        <v/>
      </c>
      <c r="D17" s="11">
        <f>1/F15</f>
        <v/>
      </c>
      <c r="E17" s="11">
        <f>1/F16</f>
        <v/>
      </c>
      <c r="F17" s="11" t="n">
        <v>1</v>
      </c>
    </row>
    <row r="18">
      <c r="A18" s="6" t="inlineStr">
        <is>
          <t>Sütun Toplamı</t>
        </is>
      </c>
      <c r="B18" s="11">
        <f>SUM(B13:B17)</f>
        <v/>
      </c>
      <c r="C18" s="11">
        <f>SUM(C13:C17)</f>
        <v/>
      </c>
      <c r="D18" s="11">
        <f>SUM(D13:D17)</f>
        <v/>
      </c>
      <c r="E18" s="11">
        <f>SUM(E13:E17)</f>
        <v/>
      </c>
      <c r="F18" s="11">
        <f>SUM(F13:F17)</f>
        <v/>
      </c>
    </row>
    <row r="20">
      <c r="A20" s="6" t="inlineStr">
        <is>
          <t>Normalize Matris (N)</t>
        </is>
      </c>
      <c r="B20" s="10" t="n"/>
      <c r="C20" s="10" t="n"/>
      <c r="D20" s="10" t="n"/>
      <c r="E20" s="10" t="n"/>
      <c r="F20" s="7" t="n"/>
    </row>
    <row r="21">
      <c r="B21" s="6" t="inlineStr">
        <is>
          <t>Ödeme</t>
        </is>
      </c>
      <c r="C21" s="6" t="inlineStr">
        <is>
          <t>Kullanıcı Deneyimi</t>
        </is>
      </c>
      <c r="D21" s="6" t="inlineStr">
        <is>
          <t>Kargo</t>
        </is>
      </c>
      <c r="E21" s="6" t="inlineStr">
        <is>
          <t>Müşteri Yorumları</t>
        </is>
      </c>
      <c r="F21" s="6" t="inlineStr">
        <is>
          <t>Fiyatlandırma</t>
        </is>
      </c>
    </row>
    <row r="22">
      <c r="A22" s="6" t="inlineStr">
        <is>
          <t>Ödeme</t>
        </is>
      </c>
      <c r="B22" s="11">
        <f>B13/B18</f>
        <v/>
      </c>
      <c r="C22" s="11">
        <f>C13/C18</f>
        <v/>
      </c>
      <c r="D22" s="11">
        <f>D13/D18</f>
        <v/>
      </c>
      <c r="E22" s="11">
        <f>E13/E18</f>
        <v/>
      </c>
      <c r="F22" s="11">
        <f>F13/F18</f>
        <v/>
      </c>
    </row>
    <row r="23">
      <c r="A23" s="6" t="inlineStr">
        <is>
          <t>Kullanıcı Deneyimi</t>
        </is>
      </c>
      <c r="B23" s="11">
        <f>B14/B18</f>
        <v/>
      </c>
      <c r="C23" s="11">
        <f>C14/C18</f>
        <v/>
      </c>
      <c r="D23" s="11">
        <f>D14/D18</f>
        <v/>
      </c>
      <c r="E23" s="11">
        <f>E14/E18</f>
        <v/>
      </c>
      <c r="F23" s="11">
        <f>F14/F18</f>
        <v/>
      </c>
    </row>
    <row r="24">
      <c r="A24" s="6" t="inlineStr">
        <is>
          <t>Kargo</t>
        </is>
      </c>
      <c r="B24" s="11">
        <f>B15/B18</f>
        <v/>
      </c>
      <c r="C24" s="11">
        <f>C15/C18</f>
        <v/>
      </c>
      <c r="D24" s="11">
        <f>D15/D18</f>
        <v/>
      </c>
      <c r="E24" s="11">
        <f>E15/E18</f>
        <v/>
      </c>
      <c r="F24" s="11">
        <f>F15/F18</f>
        <v/>
      </c>
    </row>
    <row r="25">
      <c r="A25" s="6" t="inlineStr">
        <is>
          <t>Müşteri Yorumları</t>
        </is>
      </c>
      <c r="B25" s="11">
        <f>B16/B18</f>
        <v/>
      </c>
      <c r="C25" s="11">
        <f>C16/C18</f>
        <v/>
      </c>
      <c r="D25" s="11">
        <f>D16/D18</f>
        <v/>
      </c>
      <c r="E25" s="11">
        <f>E16/E18</f>
        <v/>
      </c>
      <c r="F25" s="11">
        <f>F16/F18</f>
        <v/>
      </c>
    </row>
    <row r="26">
      <c r="A26" s="6" t="inlineStr">
        <is>
          <t>Fiyatlandırma</t>
        </is>
      </c>
      <c r="B26" s="11">
        <f>B17/B18</f>
        <v/>
      </c>
      <c r="C26" s="11">
        <f>C17/C18</f>
        <v/>
      </c>
      <c r="D26" s="11">
        <f>D17/D18</f>
        <v/>
      </c>
      <c r="E26" s="11">
        <f>E17/E18</f>
        <v/>
      </c>
      <c r="F26" s="11">
        <f>F17/F18</f>
        <v/>
      </c>
    </row>
    <row r="28">
      <c r="A28" s="6" t="inlineStr">
        <is>
          <t>Kriter</t>
        </is>
      </c>
      <c r="B28" s="6" t="inlineStr">
        <is>
          <t>ÖZV (w)</t>
        </is>
      </c>
      <c r="C28" s="6" t="inlineStr">
        <is>
          <t>A·w</t>
        </is>
      </c>
      <c r="D28" s="6" t="inlineStr">
        <is>
          <t>A·w / w</t>
        </is>
      </c>
    </row>
    <row r="29">
      <c r="A29" s="6" t="inlineStr">
        <is>
          <t>Ödeme</t>
        </is>
      </c>
      <c r="B29" s="11">
        <f>AVERAGE(B22:F22)</f>
        <v/>
      </c>
      <c r="C29" s="11">
        <f>B13*$B$29+C13*$B$30+D13*$B$31+E13*$B$32+F13*$B$33</f>
        <v/>
      </c>
      <c r="D29" s="11">
        <f>C29/B29</f>
        <v/>
      </c>
    </row>
    <row r="30">
      <c r="A30" s="6" t="inlineStr">
        <is>
          <t>Kullanıcı Deneyimi</t>
        </is>
      </c>
      <c r="B30" s="11">
        <f>AVERAGE(B23:F23)</f>
        <v/>
      </c>
      <c r="C30" s="11">
        <f>B14*$B$29+C14*$B$30+D14*$B$31+E14*$B$32+F14*$B$33</f>
        <v/>
      </c>
      <c r="D30" s="11">
        <f>C30/B30</f>
        <v/>
      </c>
    </row>
    <row r="31">
      <c r="A31" s="6" t="inlineStr">
        <is>
          <t>Kargo</t>
        </is>
      </c>
      <c r="B31" s="11">
        <f>AVERAGE(B24:F24)</f>
        <v/>
      </c>
      <c r="C31" s="11">
        <f>B15*$B$29+C15*$B$30+D15*$B$31+E15*$B$32+F15*$B$33</f>
        <v/>
      </c>
      <c r="D31" s="11">
        <f>C31/B31</f>
        <v/>
      </c>
    </row>
    <row r="32">
      <c r="A32" s="6" t="inlineStr">
        <is>
          <t>Müşteri Yorumları</t>
        </is>
      </c>
      <c r="B32" s="11">
        <f>AVERAGE(B25:F25)</f>
        <v/>
      </c>
      <c r="C32" s="11">
        <f>B16*$B$29+C16*$B$30+D16*$B$31+E16*$B$32+F16*$B$33</f>
        <v/>
      </c>
      <c r="D32" s="11">
        <f>C32/B32</f>
        <v/>
      </c>
    </row>
    <row r="33">
      <c r="A33" s="6" t="inlineStr">
        <is>
          <t>Fiyatlandırma</t>
        </is>
      </c>
      <c r="B33" s="11">
        <f>AVERAGE(B26:F26)</f>
        <v/>
      </c>
      <c r="C33" s="11">
        <f>B17*$B$29+C17*$B$30+D17*$B$31+E17*$B$32+F17*$B$33</f>
        <v/>
      </c>
      <c r="D33" s="11">
        <f>C33/B33</f>
        <v/>
      </c>
    </row>
    <row r="34">
      <c r="A34" s="6" t="inlineStr">
        <is>
          <t>Toplam</t>
        </is>
      </c>
      <c r="B34" s="11">
        <f>SUM(B29:B33)</f>
        <v/>
      </c>
    </row>
    <row r="36">
      <c r="A36" s="6" t="inlineStr">
        <is>
          <t>λ_max (ENBÖZD)</t>
        </is>
      </c>
      <c r="B36" s="11">
        <f>AVERAGE(D29:D33)</f>
        <v/>
      </c>
    </row>
    <row r="37">
      <c r="A37" s="6" t="inlineStr">
        <is>
          <t>n (kriter sayısı)</t>
        </is>
      </c>
      <c r="B37" s="9" t="n">
        <v>5</v>
      </c>
    </row>
    <row r="38">
      <c r="A38" s="6" t="inlineStr">
        <is>
          <t>CI = (λ_max - n) / (n - 1)</t>
        </is>
      </c>
      <c r="B38" s="11">
        <f>(B36-B37)/(B37-1)</f>
        <v/>
      </c>
    </row>
    <row r="39">
      <c r="A39" s="6" t="inlineStr">
        <is>
          <t>RI (n=5)</t>
        </is>
      </c>
      <c r="B39" s="11" t="n">
        <v>1.11</v>
      </c>
    </row>
    <row r="40">
      <c r="A40" s="6" t="inlineStr">
        <is>
          <t>CR = CI / RI</t>
        </is>
      </c>
      <c r="B40" s="11">
        <f>B38/B39</f>
        <v/>
      </c>
    </row>
    <row r="41">
      <c r="A41" s="6" t="inlineStr">
        <is>
          <t>Tutarlılık Eşiği</t>
        </is>
      </c>
      <c r="B41" s="9" t="n">
        <v>0.1</v>
      </c>
    </row>
    <row r="42">
      <c r="A42" s="6" t="inlineStr">
        <is>
          <t>Durum</t>
        </is>
      </c>
      <c r="B42" s="12">
        <f>IF(B40&lt;=B41,"Tutarlı","Tutarsız")</f>
        <v/>
      </c>
    </row>
  </sheetData>
  <mergeCells count="4">
    <mergeCell ref="A20:F20"/>
    <mergeCell ref="A11:F11"/>
    <mergeCell ref="A3:B3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KATILIMCI 11 - AHP ANALİZİ</t>
        </is>
      </c>
    </row>
    <row r="3">
      <c r="A3" s="6" t="inlineStr">
        <is>
          <t>Demografik Bilgiler</t>
        </is>
      </c>
      <c r="B3" s="7" t="n"/>
    </row>
    <row r="4">
      <c r="A4" s="8" t="inlineStr">
        <is>
          <t>Cinsiyet</t>
        </is>
      </c>
      <c r="B4" s="9">
        <f>Anket_Yanitlari!B12</f>
        <v/>
      </c>
    </row>
    <row r="5">
      <c r="A5" s="8" t="inlineStr">
        <is>
          <t>Yaş</t>
        </is>
      </c>
      <c r="B5" s="9">
        <f>Anket_Yanitlari!C12</f>
        <v/>
      </c>
    </row>
    <row r="6">
      <c r="A6" s="8" t="inlineStr">
        <is>
          <t>Eğitim</t>
        </is>
      </c>
      <c r="B6" s="9">
        <f>Anket_Yanitlari!D12</f>
        <v/>
      </c>
    </row>
    <row r="7">
      <c r="A7" s="8" t="inlineStr">
        <is>
          <t>Meslek</t>
        </is>
      </c>
      <c r="B7" s="9">
        <f>Anket_Yanitlari!E12</f>
        <v/>
      </c>
    </row>
    <row r="8">
      <c r="A8" s="8" t="inlineStr">
        <is>
          <t>Alışveriş Sıklığı</t>
        </is>
      </c>
      <c r="B8" s="9">
        <f>Anket_Yanitlari!F12</f>
        <v/>
      </c>
    </row>
    <row r="9">
      <c r="A9" s="8" t="inlineStr">
        <is>
          <t>Cihaz</t>
        </is>
      </c>
      <c r="B9" s="9">
        <f>Anket_Yanitlari!G12</f>
        <v/>
      </c>
    </row>
    <row r="11">
      <c r="A11" s="6" t="inlineStr">
        <is>
          <t>İkili Karşılaştırma Matrisi (A)</t>
        </is>
      </c>
      <c r="B11" s="10" t="n"/>
      <c r="C11" s="10" t="n"/>
      <c r="D11" s="10" t="n"/>
      <c r="E11" s="10" t="n"/>
      <c r="F11" s="7" t="n"/>
    </row>
    <row r="12">
      <c r="B12" s="6" t="inlineStr">
        <is>
          <t>Ödeme</t>
        </is>
      </c>
      <c r="C12" s="6" t="inlineStr">
        <is>
          <t>Kullanıcı Deneyimi</t>
        </is>
      </c>
      <c r="D12" s="6" t="inlineStr">
        <is>
          <t>Kargo</t>
        </is>
      </c>
      <c r="E12" s="6" t="inlineStr">
        <is>
          <t>Müşteri Yorumları</t>
        </is>
      </c>
      <c r="F12" s="6" t="inlineStr">
        <is>
          <t>Fiyatlandırma</t>
        </is>
      </c>
    </row>
    <row r="13">
      <c r="A13" s="6" t="inlineStr">
        <is>
          <t>Ödeme</t>
        </is>
      </c>
      <c r="B13" s="11" t="n">
        <v>1</v>
      </c>
      <c r="C13" s="11">
        <f>Anket_Yanitlari!H12</f>
        <v/>
      </c>
      <c r="D13" s="11">
        <f>Anket_Yanitlari!I12</f>
        <v/>
      </c>
      <c r="E13" s="11">
        <f>Anket_Yanitlari!J12</f>
        <v/>
      </c>
      <c r="F13" s="11">
        <f>Anket_Yanitlari!K12</f>
        <v/>
      </c>
    </row>
    <row r="14">
      <c r="A14" s="6" t="inlineStr">
        <is>
          <t>Kullanıcı Deneyimi</t>
        </is>
      </c>
      <c r="B14" s="11">
        <f>1/C13</f>
        <v/>
      </c>
      <c r="C14" s="11" t="n">
        <v>1</v>
      </c>
      <c r="D14" s="11">
        <f>Anket_Yanitlari!L12</f>
        <v/>
      </c>
      <c r="E14" s="11">
        <f>Anket_Yanitlari!M12</f>
        <v/>
      </c>
      <c r="F14" s="11">
        <f>Anket_Yanitlari!N12</f>
        <v/>
      </c>
    </row>
    <row r="15">
      <c r="A15" s="6" t="inlineStr">
        <is>
          <t>Kargo</t>
        </is>
      </c>
      <c r="B15" s="11">
        <f>1/D13</f>
        <v/>
      </c>
      <c r="C15" s="11">
        <f>1/D14</f>
        <v/>
      </c>
      <c r="D15" s="11" t="n">
        <v>1</v>
      </c>
      <c r="E15" s="11">
        <f>Anket_Yanitlari!O12</f>
        <v/>
      </c>
      <c r="F15" s="11">
        <f>Anket_Yanitlari!P12</f>
        <v/>
      </c>
    </row>
    <row r="16">
      <c r="A16" s="6" t="inlineStr">
        <is>
          <t>Müşteri Yorumları</t>
        </is>
      </c>
      <c r="B16" s="11">
        <f>1/E13</f>
        <v/>
      </c>
      <c r="C16" s="11">
        <f>1/E14</f>
        <v/>
      </c>
      <c r="D16" s="11">
        <f>1/E15</f>
        <v/>
      </c>
      <c r="E16" s="11" t="n">
        <v>1</v>
      </c>
      <c r="F16" s="11">
        <f>Anket_Yanitlari!Q12</f>
        <v/>
      </c>
    </row>
    <row r="17">
      <c r="A17" s="6" t="inlineStr">
        <is>
          <t>Fiyatlandırma</t>
        </is>
      </c>
      <c r="B17" s="11">
        <f>1/F13</f>
        <v/>
      </c>
      <c r="C17" s="11">
        <f>1/F14</f>
        <v/>
      </c>
      <c r="D17" s="11">
        <f>1/F15</f>
        <v/>
      </c>
      <c r="E17" s="11">
        <f>1/F16</f>
        <v/>
      </c>
      <c r="F17" s="11" t="n">
        <v>1</v>
      </c>
    </row>
    <row r="18">
      <c r="A18" s="6" t="inlineStr">
        <is>
          <t>Sütun Toplamı</t>
        </is>
      </c>
      <c r="B18" s="11">
        <f>SUM(B13:B17)</f>
        <v/>
      </c>
      <c r="C18" s="11">
        <f>SUM(C13:C17)</f>
        <v/>
      </c>
      <c r="D18" s="11">
        <f>SUM(D13:D17)</f>
        <v/>
      </c>
      <c r="E18" s="11">
        <f>SUM(E13:E17)</f>
        <v/>
      </c>
      <c r="F18" s="11">
        <f>SUM(F13:F17)</f>
        <v/>
      </c>
    </row>
    <row r="20">
      <c r="A20" s="6" t="inlineStr">
        <is>
          <t>Normalize Matris (N)</t>
        </is>
      </c>
      <c r="B20" s="10" t="n"/>
      <c r="C20" s="10" t="n"/>
      <c r="D20" s="10" t="n"/>
      <c r="E20" s="10" t="n"/>
      <c r="F20" s="7" t="n"/>
    </row>
    <row r="21">
      <c r="B21" s="6" t="inlineStr">
        <is>
          <t>Ödeme</t>
        </is>
      </c>
      <c r="C21" s="6" t="inlineStr">
        <is>
          <t>Kullanıcı Deneyimi</t>
        </is>
      </c>
      <c r="D21" s="6" t="inlineStr">
        <is>
          <t>Kargo</t>
        </is>
      </c>
      <c r="E21" s="6" t="inlineStr">
        <is>
          <t>Müşteri Yorumları</t>
        </is>
      </c>
      <c r="F21" s="6" t="inlineStr">
        <is>
          <t>Fiyatlandırma</t>
        </is>
      </c>
    </row>
    <row r="22">
      <c r="A22" s="6" t="inlineStr">
        <is>
          <t>Ödeme</t>
        </is>
      </c>
      <c r="B22" s="11">
        <f>B13/B18</f>
        <v/>
      </c>
      <c r="C22" s="11">
        <f>C13/C18</f>
        <v/>
      </c>
      <c r="D22" s="11">
        <f>D13/D18</f>
        <v/>
      </c>
      <c r="E22" s="11">
        <f>E13/E18</f>
        <v/>
      </c>
      <c r="F22" s="11">
        <f>F13/F18</f>
        <v/>
      </c>
    </row>
    <row r="23">
      <c r="A23" s="6" t="inlineStr">
        <is>
          <t>Kullanıcı Deneyimi</t>
        </is>
      </c>
      <c r="B23" s="11">
        <f>B14/B18</f>
        <v/>
      </c>
      <c r="C23" s="11">
        <f>C14/C18</f>
        <v/>
      </c>
      <c r="D23" s="11">
        <f>D14/D18</f>
        <v/>
      </c>
      <c r="E23" s="11">
        <f>E14/E18</f>
        <v/>
      </c>
      <c r="F23" s="11">
        <f>F14/F18</f>
        <v/>
      </c>
    </row>
    <row r="24">
      <c r="A24" s="6" t="inlineStr">
        <is>
          <t>Kargo</t>
        </is>
      </c>
      <c r="B24" s="11">
        <f>B15/B18</f>
        <v/>
      </c>
      <c r="C24" s="11">
        <f>C15/C18</f>
        <v/>
      </c>
      <c r="D24" s="11">
        <f>D15/D18</f>
        <v/>
      </c>
      <c r="E24" s="11">
        <f>E15/E18</f>
        <v/>
      </c>
      <c r="F24" s="11">
        <f>F15/F18</f>
        <v/>
      </c>
    </row>
    <row r="25">
      <c r="A25" s="6" t="inlineStr">
        <is>
          <t>Müşteri Yorumları</t>
        </is>
      </c>
      <c r="B25" s="11">
        <f>B16/B18</f>
        <v/>
      </c>
      <c r="C25" s="11">
        <f>C16/C18</f>
        <v/>
      </c>
      <c r="D25" s="11">
        <f>D16/D18</f>
        <v/>
      </c>
      <c r="E25" s="11">
        <f>E16/E18</f>
        <v/>
      </c>
      <c r="F25" s="11">
        <f>F16/F18</f>
        <v/>
      </c>
    </row>
    <row r="26">
      <c r="A26" s="6" t="inlineStr">
        <is>
          <t>Fiyatlandırma</t>
        </is>
      </c>
      <c r="B26" s="11">
        <f>B17/B18</f>
        <v/>
      </c>
      <c r="C26" s="11">
        <f>C17/C18</f>
        <v/>
      </c>
      <c r="D26" s="11">
        <f>D17/D18</f>
        <v/>
      </c>
      <c r="E26" s="11">
        <f>E17/E18</f>
        <v/>
      </c>
      <c r="F26" s="11">
        <f>F17/F18</f>
        <v/>
      </c>
    </row>
    <row r="28">
      <c r="A28" s="6" t="inlineStr">
        <is>
          <t>Kriter</t>
        </is>
      </c>
      <c r="B28" s="6" t="inlineStr">
        <is>
          <t>ÖZV (w)</t>
        </is>
      </c>
      <c r="C28" s="6" t="inlineStr">
        <is>
          <t>A·w</t>
        </is>
      </c>
      <c r="D28" s="6" t="inlineStr">
        <is>
          <t>A·w / w</t>
        </is>
      </c>
    </row>
    <row r="29">
      <c r="A29" s="6" t="inlineStr">
        <is>
          <t>Ödeme</t>
        </is>
      </c>
      <c r="B29" s="11">
        <f>AVERAGE(B22:F22)</f>
        <v/>
      </c>
      <c r="C29" s="11">
        <f>B13*$B$29+C13*$B$30+D13*$B$31+E13*$B$32+F13*$B$33</f>
        <v/>
      </c>
      <c r="D29" s="11">
        <f>C29/B29</f>
        <v/>
      </c>
    </row>
    <row r="30">
      <c r="A30" s="6" t="inlineStr">
        <is>
          <t>Kullanıcı Deneyimi</t>
        </is>
      </c>
      <c r="B30" s="11">
        <f>AVERAGE(B23:F23)</f>
        <v/>
      </c>
      <c r="C30" s="11">
        <f>B14*$B$29+C14*$B$30+D14*$B$31+E14*$B$32+F14*$B$33</f>
        <v/>
      </c>
      <c r="D30" s="11">
        <f>C30/B30</f>
        <v/>
      </c>
    </row>
    <row r="31">
      <c r="A31" s="6" t="inlineStr">
        <is>
          <t>Kargo</t>
        </is>
      </c>
      <c r="B31" s="11">
        <f>AVERAGE(B24:F24)</f>
        <v/>
      </c>
      <c r="C31" s="11">
        <f>B15*$B$29+C15*$B$30+D15*$B$31+E15*$B$32+F15*$B$33</f>
        <v/>
      </c>
      <c r="D31" s="11">
        <f>C31/B31</f>
        <v/>
      </c>
    </row>
    <row r="32">
      <c r="A32" s="6" t="inlineStr">
        <is>
          <t>Müşteri Yorumları</t>
        </is>
      </c>
      <c r="B32" s="11">
        <f>AVERAGE(B25:F25)</f>
        <v/>
      </c>
      <c r="C32" s="11">
        <f>B16*$B$29+C16*$B$30+D16*$B$31+E16*$B$32+F16*$B$33</f>
        <v/>
      </c>
      <c r="D32" s="11">
        <f>C32/B32</f>
        <v/>
      </c>
    </row>
    <row r="33">
      <c r="A33" s="6" t="inlineStr">
        <is>
          <t>Fiyatlandırma</t>
        </is>
      </c>
      <c r="B33" s="11">
        <f>AVERAGE(B26:F26)</f>
        <v/>
      </c>
      <c r="C33" s="11">
        <f>B17*$B$29+C17*$B$30+D17*$B$31+E17*$B$32+F17*$B$33</f>
        <v/>
      </c>
      <c r="D33" s="11">
        <f>C33/B33</f>
        <v/>
      </c>
    </row>
    <row r="34">
      <c r="A34" s="6" t="inlineStr">
        <is>
          <t>Toplam</t>
        </is>
      </c>
      <c r="B34" s="11">
        <f>SUM(B29:B33)</f>
        <v/>
      </c>
    </row>
    <row r="36">
      <c r="A36" s="6" t="inlineStr">
        <is>
          <t>λ_max (ENBÖZD)</t>
        </is>
      </c>
      <c r="B36" s="11">
        <f>AVERAGE(D29:D33)</f>
        <v/>
      </c>
    </row>
    <row r="37">
      <c r="A37" s="6" t="inlineStr">
        <is>
          <t>n (kriter sayısı)</t>
        </is>
      </c>
      <c r="B37" s="9" t="n">
        <v>5</v>
      </c>
    </row>
    <row r="38">
      <c r="A38" s="6" t="inlineStr">
        <is>
          <t>CI = (λ_max - n) / (n - 1)</t>
        </is>
      </c>
      <c r="B38" s="11">
        <f>(B36-B37)/(B37-1)</f>
        <v/>
      </c>
    </row>
    <row r="39">
      <c r="A39" s="6" t="inlineStr">
        <is>
          <t>RI (n=5)</t>
        </is>
      </c>
      <c r="B39" s="11" t="n">
        <v>1.11</v>
      </c>
    </row>
    <row r="40">
      <c r="A40" s="6" t="inlineStr">
        <is>
          <t>CR = CI / RI</t>
        </is>
      </c>
      <c r="B40" s="11">
        <f>B38/B39</f>
        <v/>
      </c>
    </row>
    <row r="41">
      <c r="A41" s="6" t="inlineStr">
        <is>
          <t>Tutarlılık Eşiği</t>
        </is>
      </c>
      <c r="B41" s="9" t="n">
        <v>0.1</v>
      </c>
    </row>
    <row r="42">
      <c r="A42" s="6" t="inlineStr">
        <is>
          <t>Durum</t>
        </is>
      </c>
      <c r="B42" s="12">
        <f>IF(B40&lt;=B41,"Tutarlı","Tutarsız")</f>
        <v/>
      </c>
    </row>
  </sheetData>
  <mergeCells count="4">
    <mergeCell ref="A20:F20"/>
    <mergeCell ref="A11:F11"/>
    <mergeCell ref="A3:B3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KATILIMCI 12 - AHP ANALİZİ</t>
        </is>
      </c>
    </row>
    <row r="3">
      <c r="A3" s="6" t="inlineStr">
        <is>
          <t>Demografik Bilgiler</t>
        </is>
      </c>
      <c r="B3" s="7" t="n"/>
    </row>
    <row r="4">
      <c r="A4" s="8" t="inlineStr">
        <is>
          <t>Cinsiyet</t>
        </is>
      </c>
      <c r="B4" s="9">
        <f>Anket_Yanitlari!B13</f>
        <v/>
      </c>
    </row>
    <row r="5">
      <c r="A5" s="8" t="inlineStr">
        <is>
          <t>Yaş</t>
        </is>
      </c>
      <c r="B5" s="9">
        <f>Anket_Yanitlari!C13</f>
        <v/>
      </c>
    </row>
    <row r="6">
      <c r="A6" s="8" t="inlineStr">
        <is>
          <t>Eğitim</t>
        </is>
      </c>
      <c r="B6" s="9">
        <f>Anket_Yanitlari!D13</f>
        <v/>
      </c>
    </row>
    <row r="7">
      <c r="A7" s="8" t="inlineStr">
        <is>
          <t>Meslek</t>
        </is>
      </c>
      <c r="B7" s="9">
        <f>Anket_Yanitlari!E13</f>
        <v/>
      </c>
    </row>
    <row r="8">
      <c r="A8" s="8" t="inlineStr">
        <is>
          <t>Alışveriş Sıklığı</t>
        </is>
      </c>
      <c r="B8" s="9">
        <f>Anket_Yanitlari!F13</f>
        <v/>
      </c>
    </row>
    <row r="9">
      <c r="A9" s="8" t="inlineStr">
        <is>
          <t>Cihaz</t>
        </is>
      </c>
      <c r="B9" s="9">
        <f>Anket_Yanitlari!G13</f>
        <v/>
      </c>
    </row>
    <row r="11">
      <c r="A11" s="6" t="inlineStr">
        <is>
          <t>İkili Karşılaştırma Matrisi (A)</t>
        </is>
      </c>
      <c r="B11" s="10" t="n"/>
      <c r="C11" s="10" t="n"/>
      <c r="D11" s="10" t="n"/>
      <c r="E11" s="10" t="n"/>
      <c r="F11" s="7" t="n"/>
    </row>
    <row r="12">
      <c r="B12" s="6" t="inlineStr">
        <is>
          <t>Ödeme</t>
        </is>
      </c>
      <c r="C12" s="6" t="inlineStr">
        <is>
          <t>Kullanıcı Deneyimi</t>
        </is>
      </c>
      <c r="D12" s="6" t="inlineStr">
        <is>
          <t>Kargo</t>
        </is>
      </c>
      <c r="E12" s="6" t="inlineStr">
        <is>
          <t>Müşteri Yorumları</t>
        </is>
      </c>
      <c r="F12" s="6" t="inlineStr">
        <is>
          <t>Fiyatlandırma</t>
        </is>
      </c>
    </row>
    <row r="13">
      <c r="A13" s="6" t="inlineStr">
        <is>
          <t>Ödeme</t>
        </is>
      </c>
      <c r="B13" s="11" t="n">
        <v>1</v>
      </c>
      <c r="C13" s="11">
        <f>Anket_Yanitlari!H13</f>
        <v/>
      </c>
      <c r="D13" s="11">
        <f>Anket_Yanitlari!I13</f>
        <v/>
      </c>
      <c r="E13" s="11">
        <f>Anket_Yanitlari!J13</f>
        <v/>
      </c>
      <c r="F13" s="11">
        <f>Anket_Yanitlari!K13</f>
        <v/>
      </c>
    </row>
    <row r="14">
      <c r="A14" s="6" t="inlineStr">
        <is>
          <t>Kullanıcı Deneyimi</t>
        </is>
      </c>
      <c r="B14" s="11">
        <f>1/C13</f>
        <v/>
      </c>
      <c r="C14" s="11" t="n">
        <v>1</v>
      </c>
      <c r="D14" s="11">
        <f>Anket_Yanitlari!L13</f>
        <v/>
      </c>
      <c r="E14" s="11">
        <f>Anket_Yanitlari!M13</f>
        <v/>
      </c>
      <c r="F14" s="11">
        <f>Anket_Yanitlari!N13</f>
        <v/>
      </c>
    </row>
    <row r="15">
      <c r="A15" s="6" t="inlineStr">
        <is>
          <t>Kargo</t>
        </is>
      </c>
      <c r="B15" s="11">
        <f>1/D13</f>
        <v/>
      </c>
      <c r="C15" s="11">
        <f>1/D14</f>
        <v/>
      </c>
      <c r="D15" s="11" t="n">
        <v>1</v>
      </c>
      <c r="E15" s="11">
        <f>Anket_Yanitlari!O13</f>
        <v/>
      </c>
      <c r="F15" s="11">
        <f>Anket_Yanitlari!P13</f>
        <v/>
      </c>
    </row>
    <row r="16">
      <c r="A16" s="6" t="inlineStr">
        <is>
          <t>Müşteri Yorumları</t>
        </is>
      </c>
      <c r="B16" s="11">
        <f>1/E13</f>
        <v/>
      </c>
      <c r="C16" s="11">
        <f>1/E14</f>
        <v/>
      </c>
      <c r="D16" s="11">
        <f>1/E15</f>
        <v/>
      </c>
      <c r="E16" s="11" t="n">
        <v>1</v>
      </c>
      <c r="F16" s="11">
        <f>Anket_Yanitlari!Q13</f>
        <v/>
      </c>
    </row>
    <row r="17">
      <c r="A17" s="6" t="inlineStr">
        <is>
          <t>Fiyatlandırma</t>
        </is>
      </c>
      <c r="B17" s="11">
        <f>1/F13</f>
        <v/>
      </c>
      <c r="C17" s="11">
        <f>1/F14</f>
        <v/>
      </c>
      <c r="D17" s="11">
        <f>1/F15</f>
        <v/>
      </c>
      <c r="E17" s="11">
        <f>1/F16</f>
        <v/>
      </c>
      <c r="F17" s="11" t="n">
        <v>1</v>
      </c>
    </row>
    <row r="18">
      <c r="A18" s="6" t="inlineStr">
        <is>
          <t>Sütun Toplamı</t>
        </is>
      </c>
      <c r="B18" s="11">
        <f>SUM(B13:B17)</f>
        <v/>
      </c>
      <c r="C18" s="11">
        <f>SUM(C13:C17)</f>
        <v/>
      </c>
      <c r="D18" s="11">
        <f>SUM(D13:D17)</f>
        <v/>
      </c>
      <c r="E18" s="11">
        <f>SUM(E13:E17)</f>
        <v/>
      </c>
      <c r="F18" s="11">
        <f>SUM(F13:F17)</f>
        <v/>
      </c>
    </row>
    <row r="20">
      <c r="A20" s="6" t="inlineStr">
        <is>
          <t>Normalize Matris (N)</t>
        </is>
      </c>
      <c r="B20" s="10" t="n"/>
      <c r="C20" s="10" t="n"/>
      <c r="D20" s="10" t="n"/>
      <c r="E20" s="10" t="n"/>
      <c r="F20" s="7" t="n"/>
    </row>
    <row r="21">
      <c r="B21" s="6" t="inlineStr">
        <is>
          <t>Ödeme</t>
        </is>
      </c>
      <c r="C21" s="6" t="inlineStr">
        <is>
          <t>Kullanıcı Deneyimi</t>
        </is>
      </c>
      <c r="D21" s="6" t="inlineStr">
        <is>
          <t>Kargo</t>
        </is>
      </c>
      <c r="E21" s="6" t="inlineStr">
        <is>
          <t>Müşteri Yorumları</t>
        </is>
      </c>
      <c r="F21" s="6" t="inlineStr">
        <is>
          <t>Fiyatlandırma</t>
        </is>
      </c>
    </row>
    <row r="22">
      <c r="A22" s="6" t="inlineStr">
        <is>
          <t>Ödeme</t>
        </is>
      </c>
      <c r="B22" s="11">
        <f>B13/B18</f>
        <v/>
      </c>
      <c r="C22" s="11">
        <f>C13/C18</f>
        <v/>
      </c>
      <c r="D22" s="11">
        <f>D13/D18</f>
        <v/>
      </c>
      <c r="E22" s="11">
        <f>E13/E18</f>
        <v/>
      </c>
      <c r="F22" s="11">
        <f>F13/F18</f>
        <v/>
      </c>
    </row>
    <row r="23">
      <c r="A23" s="6" t="inlineStr">
        <is>
          <t>Kullanıcı Deneyimi</t>
        </is>
      </c>
      <c r="B23" s="11">
        <f>B14/B18</f>
        <v/>
      </c>
      <c r="C23" s="11">
        <f>C14/C18</f>
        <v/>
      </c>
      <c r="D23" s="11">
        <f>D14/D18</f>
        <v/>
      </c>
      <c r="E23" s="11">
        <f>E14/E18</f>
        <v/>
      </c>
      <c r="F23" s="11">
        <f>F14/F18</f>
        <v/>
      </c>
    </row>
    <row r="24">
      <c r="A24" s="6" t="inlineStr">
        <is>
          <t>Kargo</t>
        </is>
      </c>
      <c r="B24" s="11">
        <f>B15/B18</f>
        <v/>
      </c>
      <c r="C24" s="11">
        <f>C15/C18</f>
        <v/>
      </c>
      <c r="D24" s="11">
        <f>D15/D18</f>
        <v/>
      </c>
      <c r="E24" s="11">
        <f>E15/E18</f>
        <v/>
      </c>
      <c r="F24" s="11">
        <f>F15/F18</f>
        <v/>
      </c>
    </row>
    <row r="25">
      <c r="A25" s="6" t="inlineStr">
        <is>
          <t>Müşteri Yorumları</t>
        </is>
      </c>
      <c r="B25" s="11">
        <f>B16/B18</f>
        <v/>
      </c>
      <c r="C25" s="11">
        <f>C16/C18</f>
        <v/>
      </c>
      <c r="D25" s="11">
        <f>D16/D18</f>
        <v/>
      </c>
      <c r="E25" s="11">
        <f>E16/E18</f>
        <v/>
      </c>
      <c r="F25" s="11">
        <f>F16/F18</f>
        <v/>
      </c>
    </row>
    <row r="26">
      <c r="A26" s="6" t="inlineStr">
        <is>
          <t>Fiyatlandırma</t>
        </is>
      </c>
      <c r="B26" s="11">
        <f>B17/B18</f>
        <v/>
      </c>
      <c r="C26" s="11">
        <f>C17/C18</f>
        <v/>
      </c>
      <c r="D26" s="11">
        <f>D17/D18</f>
        <v/>
      </c>
      <c r="E26" s="11">
        <f>E17/E18</f>
        <v/>
      </c>
      <c r="F26" s="11">
        <f>F17/F18</f>
        <v/>
      </c>
    </row>
    <row r="28">
      <c r="A28" s="6" t="inlineStr">
        <is>
          <t>Kriter</t>
        </is>
      </c>
      <c r="B28" s="6" t="inlineStr">
        <is>
          <t>ÖZV (w)</t>
        </is>
      </c>
      <c r="C28" s="6" t="inlineStr">
        <is>
          <t>A·w</t>
        </is>
      </c>
      <c r="D28" s="6" t="inlineStr">
        <is>
          <t>A·w / w</t>
        </is>
      </c>
    </row>
    <row r="29">
      <c r="A29" s="6" t="inlineStr">
        <is>
          <t>Ödeme</t>
        </is>
      </c>
      <c r="B29" s="11">
        <f>AVERAGE(B22:F22)</f>
        <v/>
      </c>
      <c r="C29" s="11">
        <f>B13*$B$29+C13*$B$30+D13*$B$31+E13*$B$32+F13*$B$33</f>
        <v/>
      </c>
      <c r="D29" s="11">
        <f>C29/B29</f>
        <v/>
      </c>
    </row>
    <row r="30">
      <c r="A30" s="6" t="inlineStr">
        <is>
          <t>Kullanıcı Deneyimi</t>
        </is>
      </c>
      <c r="B30" s="11">
        <f>AVERAGE(B23:F23)</f>
        <v/>
      </c>
      <c r="C30" s="11">
        <f>B14*$B$29+C14*$B$30+D14*$B$31+E14*$B$32+F14*$B$33</f>
        <v/>
      </c>
      <c r="D30" s="11">
        <f>C30/B30</f>
        <v/>
      </c>
    </row>
    <row r="31">
      <c r="A31" s="6" t="inlineStr">
        <is>
          <t>Kargo</t>
        </is>
      </c>
      <c r="B31" s="11">
        <f>AVERAGE(B24:F24)</f>
        <v/>
      </c>
      <c r="C31" s="11">
        <f>B15*$B$29+C15*$B$30+D15*$B$31+E15*$B$32+F15*$B$33</f>
        <v/>
      </c>
      <c r="D31" s="11">
        <f>C31/B31</f>
        <v/>
      </c>
    </row>
    <row r="32">
      <c r="A32" s="6" t="inlineStr">
        <is>
          <t>Müşteri Yorumları</t>
        </is>
      </c>
      <c r="B32" s="11">
        <f>AVERAGE(B25:F25)</f>
        <v/>
      </c>
      <c r="C32" s="11">
        <f>B16*$B$29+C16*$B$30+D16*$B$31+E16*$B$32+F16*$B$33</f>
        <v/>
      </c>
      <c r="D32" s="11">
        <f>C32/B32</f>
        <v/>
      </c>
    </row>
    <row r="33">
      <c r="A33" s="6" t="inlineStr">
        <is>
          <t>Fiyatlandırma</t>
        </is>
      </c>
      <c r="B33" s="11">
        <f>AVERAGE(B26:F26)</f>
        <v/>
      </c>
      <c r="C33" s="11">
        <f>B17*$B$29+C17*$B$30+D17*$B$31+E17*$B$32+F17*$B$33</f>
        <v/>
      </c>
      <c r="D33" s="11">
        <f>C33/B33</f>
        <v/>
      </c>
    </row>
    <row r="34">
      <c r="A34" s="6" t="inlineStr">
        <is>
          <t>Toplam</t>
        </is>
      </c>
      <c r="B34" s="11">
        <f>SUM(B29:B33)</f>
        <v/>
      </c>
    </row>
    <row r="36">
      <c r="A36" s="6" t="inlineStr">
        <is>
          <t>λ_max (ENBÖZD)</t>
        </is>
      </c>
      <c r="B36" s="11">
        <f>AVERAGE(D29:D33)</f>
        <v/>
      </c>
    </row>
    <row r="37">
      <c r="A37" s="6" t="inlineStr">
        <is>
          <t>n (kriter sayısı)</t>
        </is>
      </c>
      <c r="B37" s="9" t="n">
        <v>5</v>
      </c>
    </row>
    <row r="38">
      <c r="A38" s="6" t="inlineStr">
        <is>
          <t>CI = (λ_max - n) / (n - 1)</t>
        </is>
      </c>
      <c r="B38" s="11">
        <f>(B36-B37)/(B37-1)</f>
        <v/>
      </c>
    </row>
    <row r="39">
      <c r="A39" s="6" t="inlineStr">
        <is>
          <t>RI (n=5)</t>
        </is>
      </c>
      <c r="B39" s="11" t="n">
        <v>1.11</v>
      </c>
    </row>
    <row r="40">
      <c r="A40" s="6" t="inlineStr">
        <is>
          <t>CR = CI / RI</t>
        </is>
      </c>
      <c r="B40" s="11">
        <f>B38/B39</f>
        <v/>
      </c>
    </row>
    <row r="41">
      <c r="A41" s="6" t="inlineStr">
        <is>
          <t>Tutarlılık Eşiği</t>
        </is>
      </c>
      <c r="B41" s="9" t="n">
        <v>0.1</v>
      </c>
    </row>
    <row r="42">
      <c r="A42" s="6" t="inlineStr">
        <is>
          <t>Durum</t>
        </is>
      </c>
      <c r="B42" s="12">
        <f>IF(B40&lt;=B41,"Tutarlı","Tutarsız")</f>
        <v/>
      </c>
    </row>
  </sheetData>
  <mergeCells count="4">
    <mergeCell ref="A20:F20"/>
    <mergeCell ref="A11:F11"/>
    <mergeCell ref="A3:B3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KATILIMCI 13 - AHP ANALİZİ</t>
        </is>
      </c>
    </row>
    <row r="3">
      <c r="A3" s="6" t="inlineStr">
        <is>
          <t>Demografik Bilgiler</t>
        </is>
      </c>
      <c r="B3" s="7" t="n"/>
    </row>
    <row r="4">
      <c r="A4" s="8" t="inlineStr">
        <is>
          <t>Cinsiyet</t>
        </is>
      </c>
      <c r="B4" s="9">
        <f>Anket_Yanitlari!B14</f>
        <v/>
      </c>
    </row>
    <row r="5">
      <c r="A5" s="8" t="inlineStr">
        <is>
          <t>Yaş</t>
        </is>
      </c>
      <c r="B5" s="9">
        <f>Anket_Yanitlari!C14</f>
        <v/>
      </c>
    </row>
    <row r="6">
      <c r="A6" s="8" t="inlineStr">
        <is>
          <t>Eğitim</t>
        </is>
      </c>
      <c r="B6" s="9">
        <f>Anket_Yanitlari!D14</f>
        <v/>
      </c>
    </row>
    <row r="7">
      <c r="A7" s="8" t="inlineStr">
        <is>
          <t>Meslek</t>
        </is>
      </c>
      <c r="B7" s="9">
        <f>Anket_Yanitlari!E14</f>
        <v/>
      </c>
    </row>
    <row r="8">
      <c r="A8" s="8" t="inlineStr">
        <is>
          <t>Alışveriş Sıklığı</t>
        </is>
      </c>
      <c r="B8" s="9">
        <f>Anket_Yanitlari!F14</f>
        <v/>
      </c>
    </row>
    <row r="9">
      <c r="A9" s="8" t="inlineStr">
        <is>
          <t>Cihaz</t>
        </is>
      </c>
      <c r="B9" s="9">
        <f>Anket_Yanitlari!G14</f>
        <v/>
      </c>
    </row>
    <row r="11">
      <c r="A11" s="6" t="inlineStr">
        <is>
          <t>İkili Karşılaştırma Matrisi (A)</t>
        </is>
      </c>
      <c r="B11" s="10" t="n"/>
      <c r="C11" s="10" t="n"/>
      <c r="D11" s="10" t="n"/>
      <c r="E11" s="10" t="n"/>
      <c r="F11" s="7" t="n"/>
    </row>
    <row r="12">
      <c r="B12" s="6" t="inlineStr">
        <is>
          <t>Ödeme</t>
        </is>
      </c>
      <c r="C12" s="6" t="inlineStr">
        <is>
          <t>Kullanıcı Deneyimi</t>
        </is>
      </c>
      <c r="D12" s="6" t="inlineStr">
        <is>
          <t>Kargo</t>
        </is>
      </c>
      <c r="E12" s="6" t="inlineStr">
        <is>
          <t>Müşteri Yorumları</t>
        </is>
      </c>
      <c r="F12" s="6" t="inlineStr">
        <is>
          <t>Fiyatlandırma</t>
        </is>
      </c>
    </row>
    <row r="13">
      <c r="A13" s="6" t="inlineStr">
        <is>
          <t>Ödeme</t>
        </is>
      </c>
      <c r="B13" s="11" t="n">
        <v>1</v>
      </c>
      <c r="C13" s="11">
        <f>Anket_Yanitlari!H14</f>
        <v/>
      </c>
      <c r="D13" s="11">
        <f>Anket_Yanitlari!I14</f>
        <v/>
      </c>
      <c r="E13" s="11">
        <f>Anket_Yanitlari!J14</f>
        <v/>
      </c>
      <c r="F13" s="11">
        <f>Anket_Yanitlari!K14</f>
        <v/>
      </c>
    </row>
    <row r="14">
      <c r="A14" s="6" t="inlineStr">
        <is>
          <t>Kullanıcı Deneyimi</t>
        </is>
      </c>
      <c r="B14" s="11">
        <f>1/C13</f>
        <v/>
      </c>
      <c r="C14" s="11" t="n">
        <v>1</v>
      </c>
      <c r="D14" s="11">
        <f>Anket_Yanitlari!L14</f>
        <v/>
      </c>
      <c r="E14" s="11">
        <f>Anket_Yanitlari!M14</f>
        <v/>
      </c>
      <c r="F14" s="11">
        <f>Anket_Yanitlari!N14</f>
        <v/>
      </c>
    </row>
    <row r="15">
      <c r="A15" s="6" t="inlineStr">
        <is>
          <t>Kargo</t>
        </is>
      </c>
      <c r="B15" s="11">
        <f>1/D13</f>
        <v/>
      </c>
      <c r="C15" s="11">
        <f>1/D14</f>
        <v/>
      </c>
      <c r="D15" s="11" t="n">
        <v>1</v>
      </c>
      <c r="E15" s="11">
        <f>Anket_Yanitlari!O14</f>
        <v/>
      </c>
      <c r="F15" s="11">
        <f>Anket_Yanitlari!P14</f>
        <v/>
      </c>
    </row>
    <row r="16">
      <c r="A16" s="6" t="inlineStr">
        <is>
          <t>Müşteri Yorumları</t>
        </is>
      </c>
      <c r="B16" s="11">
        <f>1/E13</f>
        <v/>
      </c>
      <c r="C16" s="11">
        <f>1/E14</f>
        <v/>
      </c>
      <c r="D16" s="11">
        <f>1/E15</f>
        <v/>
      </c>
      <c r="E16" s="11" t="n">
        <v>1</v>
      </c>
      <c r="F16" s="11">
        <f>Anket_Yanitlari!Q14</f>
        <v/>
      </c>
    </row>
    <row r="17">
      <c r="A17" s="6" t="inlineStr">
        <is>
          <t>Fiyatlandırma</t>
        </is>
      </c>
      <c r="B17" s="11">
        <f>1/F13</f>
        <v/>
      </c>
      <c r="C17" s="11">
        <f>1/F14</f>
        <v/>
      </c>
      <c r="D17" s="11">
        <f>1/F15</f>
        <v/>
      </c>
      <c r="E17" s="11">
        <f>1/F16</f>
        <v/>
      </c>
      <c r="F17" s="11" t="n">
        <v>1</v>
      </c>
    </row>
    <row r="18">
      <c r="A18" s="6" t="inlineStr">
        <is>
          <t>Sütun Toplamı</t>
        </is>
      </c>
      <c r="B18" s="11">
        <f>SUM(B13:B17)</f>
        <v/>
      </c>
      <c r="C18" s="11">
        <f>SUM(C13:C17)</f>
        <v/>
      </c>
      <c r="D18" s="11">
        <f>SUM(D13:D17)</f>
        <v/>
      </c>
      <c r="E18" s="11">
        <f>SUM(E13:E17)</f>
        <v/>
      </c>
      <c r="F18" s="11">
        <f>SUM(F13:F17)</f>
        <v/>
      </c>
    </row>
    <row r="20">
      <c r="A20" s="6" t="inlineStr">
        <is>
          <t>Normalize Matris (N)</t>
        </is>
      </c>
      <c r="B20" s="10" t="n"/>
      <c r="C20" s="10" t="n"/>
      <c r="D20" s="10" t="n"/>
      <c r="E20" s="10" t="n"/>
      <c r="F20" s="7" t="n"/>
    </row>
    <row r="21">
      <c r="B21" s="6" t="inlineStr">
        <is>
          <t>Ödeme</t>
        </is>
      </c>
      <c r="C21" s="6" t="inlineStr">
        <is>
          <t>Kullanıcı Deneyimi</t>
        </is>
      </c>
      <c r="D21" s="6" t="inlineStr">
        <is>
          <t>Kargo</t>
        </is>
      </c>
      <c r="E21" s="6" t="inlineStr">
        <is>
          <t>Müşteri Yorumları</t>
        </is>
      </c>
      <c r="F21" s="6" t="inlineStr">
        <is>
          <t>Fiyatlandırma</t>
        </is>
      </c>
    </row>
    <row r="22">
      <c r="A22" s="6" t="inlineStr">
        <is>
          <t>Ödeme</t>
        </is>
      </c>
      <c r="B22" s="11">
        <f>B13/B18</f>
        <v/>
      </c>
      <c r="C22" s="11">
        <f>C13/C18</f>
        <v/>
      </c>
      <c r="D22" s="11">
        <f>D13/D18</f>
        <v/>
      </c>
      <c r="E22" s="11">
        <f>E13/E18</f>
        <v/>
      </c>
      <c r="F22" s="11">
        <f>F13/F18</f>
        <v/>
      </c>
    </row>
    <row r="23">
      <c r="A23" s="6" t="inlineStr">
        <is>
          <t>Kullanıcı Deneyimi</t>
        </is>
      </c>
      <c r="B23" s="11">
        <f>B14/B18</f>
        <v/>
      </c>
      <c r="C23" s="11">
        <f>C14/C18</f>
        <v/>
      </c>
      <c r="D23" s="11">
        <f>D14/D18</f>
        <v/>
      </c>
      <c r="E23" s="11">
        <f>E14/E18</f>
        <v/>
      </c>
      <c r="F23" s="11">
        <f>F14/F18</f>
        <v/>
      </c>
    </row>
    <row r="24">
      <c r="A24" s="6" t="inlineStr">
        <is>
          <t>Kargo</t>
        </is>
      </c>
      <c r="B24" s="11">
        <f>B15/B18</f>
        <v/>
      </c>
      <c r="C24" s="11">
        <f>C15/C18</f>
        <v/>
      </c>
      <c r="D24" s="11">
        <f>D15/D18</f>
        <v/>
      </c>
      <c r="E24" s="11">
        <f>E15/E18</f>
        <v/>
      </c>
      <c r="F24" s="11">
        <f>F15/F18</f>
        <v/>
      </c>
    </row>
    <row r="25">
      <c r="A25" s="6" t="inlineStr">
        <is>
          <t>Müşteri Yorumları</t>
        </is>
      </c>
      <c r="B25" s="11">
        <f>B16/B18</f>
        <v/>
      </c>
      <c r="C25" s="11">
        <f>C16/C18</f>
        <v/>
      </c>
      <c r="D25" s="11">
        <f>D16/D18</f>
        <v/>
      </c>
      <c r="E25" s="11">
        <f>E16/E18</f>
        <v/>
      </c>
      <c r="F25" s="11">
        <f>F16/F18</f>
        <v/>
      </c>
    </row>
    <row r="26">
      <c r="A26" s="6" t="inlineStr">
        <is>
          <t>Fiyatlandırma</t>
        </is>
      </c>
      <c r="B26" s="11">
        <f>B17/B18</f>
        <v/>
      </c>
      <c r="C26" s="11">
        <f>C17/C18</f>
        <v/>
      </c>
      <c r="D26" s="11">
        <f>D17/D18</f>
        <v/>
      </c>
      <c r="E26" s="11">
        <f>E17/E18</f>
        <v/>
      </c>
      <c r="F26" s="11">
        <f>F17/F18</f>
        <v/>
      </c>
    </row>
    <row r="28">
      <c r="A28" s="6" t="inlineStr">
        <is>
          <t>Kriter</t>
        </is>
      </c>
      <c r="B28" s="6" t="inlineStr">
        <is>
          <t>ÖZV (w)</t>
        </is>
      </c>
      <c r="C28" s="6" t="inlineStr">
        <is>
          <t>A·w</t>
        </is>
      </c>
      <c r="D28" s="6" t="inlineStr">
        <is>
          <t>A·w / w</t>
        </is>
      </c>
    </row>
    <row r="29">
      <c r="A29" s="6" t="inlineStr">
        <is>
          <t>Ödeme</t>
        </is>
      </c>
      <c r="B29" s="11">
        <f>AVERAGE(B22:F22)</f>
        <v/>
      </c>
      <c r="C29" s="11">
        <f>B13*$B$29+C13*$B$30+D13*$B$31+E13*$B$32+F13*$B$33</f>
        <v/>
      </c>
      <c r="D29" s="11">
        <f>C29/B29</f>
        <v/>
      </c>
    </row>
    <row r="30">
      <c r="A30" s="6" t="inlineStr">
        <is>
          <t>Kullanıcı Deneyimi</t>
        </is>
      </c>
      <c r="B30" s="11">
        <f>AVERAGE(B23:F23)</f>
        <v/>
      </c>
      <c r="C30" s="11">
        <f>B14*$B$29+C14*$B$30+D14*$B$31+E14*$B$32+F14*$B$33</f>
        <v/>
      </c>
      <c r="D30" s="11">
        <f>C30/B30</f>
        <v/>
      </c>
    </row>
    <row r="31">
      <c r="A31" s="6" t="inlineStr">
        <is>
          <t>Kargo</t>
        </is>
      </c>
      <c r="B31" s="11">
        <f>AVERAGE(B24:F24)</f>
        <v/>
      </c>
      <c r="C31" s="11">
        <f>B15*$B$29+C15*$B$30+D15*$B$31+E15*$B$32+F15*$B$33</f>
        <v/>
      </c>
      <c r="D31" s="11">
        <f>C31/B31</f>
        <v/>
      </c>
    </row>
    <row r="32">
      <c r="A32" s="6" t="inlineStr">
        <is>
          <t>Müşteri Yorumları</t>
        </is>
      </c>
      <c r="B32" s="11">
        <f>AVERAGE(B25:F25)</f>
        <v/>
      </c>
      <c r="C32" s="11">
        <f>B16*$B$29+C16*$B$30+D16*$B$31+E16*$B$32+F16*$B$33</f>
        <v/>
      </c>
      <c r="D32" s="11">
        <f>C32/B32</f>
        <v/>
      </c>
    </row>
    <row r="33">
      <c r="A33" s="6" t="inlineStr">
        <is>
          <t>Fiyatlandırma</t>
        </is>
      </c>
      <c r="B33" s="11">
        <f>AVERAGE(B26:F26)</f>
        <v/>
      </c>
      <c r="C33" s="11">
        <f>B17*$B$29+C17*$B$30+D17*$B$31+E17*$B$32+F17*$B$33</f>
        <v/>
      </c>
      <c r="D33" s="11">
        <f>C33/B33</f>
        <v/>
      </c>
    </row>
    <row r="34">
      <c r="A34" s="6" t="inlineStr">
        <is>
          <t>Toplam</t>
        </is>
      </c>
      <c r="B34" s="11">
        <f>SUM(B29:B33)</f>
        <v/>
      </c>
    </row>
    <row r="36">
      <c r="A36" s="6" t="inlineStr">
        <is>
          <t>λ_max (ENBÖZD)</t>
        </is>
      </c>
      <c r="B36" s="11">
        <f>AVERAGE(D29:D33)</f>
        <v/>
      </c>
    </row>
    <row r="37">
      <c r="A37" s="6" t="inlineStr">
        <is>
          <t>n (kriter sayısı)</t>
        </is>
      </c>
      <c r="B37" s="9" t="n">
        <v>5</v>
      </c>
    </row>
    <row r="38">
      <c r="A38" s="6" t="inlineStr">
        <is>
          <t>CI = (λ_max - n) / (n - 1)</t>
        </is>
      </c>
      <c r="B38" s="11">
        <f>(B36-B37)/(B37-1)</f>
        <v/>
      </c>
    </row>
    <row r="39">
      <c r="A39" s="6" t="inlineStr">
        <is>
          <t>RI (n=5)</t>
        </is>
      </c>
      <c r="B39" s="11" t="n">
        <v>1.11</v>
      </c>
    </row>
    <row r="40">
      <c r="A40" s="6" t="inlineStr">
        <is>
          <t>CR = CI / RI</t>
        </is>
      </c>
      <c r="B40" s="11">
        <f>B38/B39</f>
        <v/>
      </c>
    </row>
    <row r="41">
      <c r="A41" s="6" t="inlineStr">
        <is>
          <t>Tutarlılık Eşiği</t>
        </is>
      </c>
      <c r="B41" s="9" t="n">
        <v>0.1</v>
      </c>
    </row>
    <row r="42">
      <c r="A42" s="6" t="inlineStr">
        <is>
          <t>Durum</t>
        </is>
      </c>
      <c r="B42" s="12">
        <f>IF(B40&lt;=B41,"Tutarlı","Tutarsız")</f>
        <v/>
      </c>
    </row>
  </sheetData>
  <mergeCells count="4">
    <mergeCell ref="A20:F20"/>
    <mergeCell ref="A11:F11"/>
    <mergeCell ref="A3:B3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KATILIMCI 14 - AHP ANALİZİ</t>
        </is>
      </c>
    </row>
    <row r="3">
      <c r="A3" s="6" t="inlineStr">
        <is>
          <t>Demografik Bilgiler</t>
        </is>
      </c>
      <c r="B3" s="7" t="n"/>
    </row>
    <row r="4">
      <c r="A4" s="8" t="inlineStr">
        <is>
          <t>Cinsiyet</t>
        </is>
      </c>
      <c r="B4" s="9">
        <f>Anket_Yanitlari!B15</f>
        <v/>
      </c>
    </row>
    <row r="5">
      <c r="A5" s="8" t="inlineStr">
        <is>
          <t>Yaş</t>
        </is>
      </c>
      <c r="B5" s="9">
        <f>Anket_Yanitlari!C15</f>
        <v/>
      </c>
    </row>
    <row r="6">
      <c r="A6" s="8" t="inlineStr">
        <is>
          <t>Eğitim</t>
        </is>
      </c>
      <c r="B6" s="9">
        <f>Anket_Yanitlari!D15</f>
        <v/>
      </c>
    </row>
    <row r="7">
      <c r="A7" s="8" t="inlineStr">
        <is>
          <t>Meslek</t>
        </is>
      </c>
      <c r="B7" s="9">
        <f>Anket_Yanitlari!E15</f>
        <v/>
      </c>
    </row>
    <row r="8">
      <c r="A8" s="8" t="inlineStr">
        <is>
          <t>Alışveriş Sıklığı</t>
        </is>
      </c>
      <c r="B8" s="9">
        <f>Anket_Yanitlari!F15</f>
        <v/>
      </c>
    </row>
    <row r="9">
      <c r="A9" s="8" t="inlineStr">
        <is>
          <t>Cihaz</t>
        </is>
      </c>
      <c r="B9" s="9">
        <f>Anket_Yanitlari!G15</f>
        <v/>
      </c>
    </row>
    <row r="11">
      <c r="A11" s="6" t="inlineStr">
        <is>
          <t>İkili Karşılaştırma Matrisi (A)</t>
        </is>
      </c>
      <c r="B11" s="10" t="n"/>
      <c r="C11" s="10" t="n"/>
      <c r="D11" s="10" t="n"/>
      <c r="E11" s="10" t="n"/>
      <c r="F11" s="7" t="n"/>
    </row>
    <row r="12">
      <c r="B12" s="6" t="inlineStr">
        <is>
          <t>Ödeme</t>
        </is>
      </c>
      <c r="C12" s="6" t="inlineStr">
        <is>
          <t>Kullanıcı Deneyimi</t>
        </is>
      </c>
      <c r="D12" s="6" t="inlineStr">
        <is>
          <t>Kargo</t>
        </is>
      </c>
      <c r="E12" s="6" t="inlineStr">
        <is>
          <t>Müşteri Yorumları</t>
        </is>
      </c>
      <c r="F12" s="6" t="inlineStr">
        <is>
          <t>Fiyatlandırma</t>
        </is>
      </c>
    </row>
    <row r="13">
      <c r="A13" s="6" t="inlineStr">
        <is>
          <t>Ödeme</t>
        </is>
      </c>
      <c r="B13" s="11" t="n">
        <v>1</v>
      </c>
      <c r="C13" s="11">
        <f>Anket_Yanitlari!H15</f>
        <v/>
      </c>
      <c r="D13" s="11">
        <f>Anket_Yanitlari!I15</f>
        <v/>
      </c>
      <c r="E13" s="11">
        <f>Anket_Yanitlari!J15</f>
        <v/>
      </c>
      <c r="F13" s="11">
        <f>Anket_Yanitlari!K15</f>
        <v/>
      </c>
    </row>
    <row r="14">
      <c r="A14" s="6" t="inlineStr">
        <is>
          <t>Kullanıcı Deneyimi</t>
        </is>
      </c>
      <c r="B14" s="11">
        <f>1/C13</f>
        <v/>
      </c>
      <c r="C14" s="11" t="n">
        <v>1</v>
      </c>
      <c r="D14" s="11">
        <f>Anket_Yanitlari!L15</f>
        <v/>
      </c>
      <c r="E14" s="11">
        <f>Anket_Yanitlari!M15</f>
        <v/>
      </c>
      <c r="F14" s="11">
        <f>Anket_Yanitlari!N15</f>
        <v/>
      </c>
    </row>
    <row r="15">
      <c r="A15" s="6" t="inlineStr">
        <is>
          <t>Kargo</t>
        </is>
      </c>
      <c r="B15" s="11">
        <f>1/D13</f>
        <v/>
      </c>
      <c r="C15" s="11">
        <f>1/D14</f>
        <v/>
      </c>
      <c r="D15" s="11" t="n">
        <v>1</v>
      </c>
      <c r="E15" s="11">
        <f>Anket_Yanitlari!O15</f>
        <v/>
      </c>
      <c r="F15" s="11">
        <f>Anket_Yanitlari!P15</f>
        <v/>
      </c>
    </row>
    <row r="16">
      <c r="A16" s="6" t="inlineStr">
        <is>
          <t>Müşteri Yorumları</t>
        </is>
      </c>
      <c r="B16" s="11">
        <f>1/E13</f>
        <v/>
      </c>
      <c r="C16" s="11">
        <f>1/E14</f>
        <v/>
      </c>
      <c r="D16" s="11">
        <f>1/E15</f>
        <v/>
      </c>
      <c r="E16" s="11" t="n">
        <v>1</v>
      </c>
      <c r="F16" s="11">
        <f>Anket_Yanitlari!Q15</f>
        <v/>
      </c>
    </row>
    <row r="17">
      <c r="A17" s="6" t="inlineStr">
        <is>
          <t>Fiyatlandırma</t>
        </is>
      </c>
      <c r="B17" s="11">
        <f>1/F13</f>
        <v/>
      </c>
      <c r="C17" s="11">
        <f>1/F14</f>
        <v/>
      </c>
      <c r="D17" s="11">
        <f>1/F15</f>
        <v/>
      </c>
      <c r="E17" s="11">
        <f>1/F16</f>
        <v/>
      </c>
      <c r="F17" s="11" t="n">
        <v>1</v>
      </c>
    </row>
    <row r="18">
      <c r="A18" s="6" t="inlineStr">
        <is>
          <t>Sütun Toplamı</t>
        </is>
      </c>
      <c r="B18" s="11">
        <f>SUM(B13:B17)</f>
        <v/>
      </c>
      <c r="C18" s="11">
        <f>SUM(C13:C17)</f>
        <v/>
      </c>
      <c r="D18" s="11">
        <f>SUM(D13:D17)</f>
        <v/>
      </c>
      <c r="E18" s="11">
        <f>SUM(E13:E17)</f>
        <v/>
      </c>
      <c r="F18" s="11">
        <f>SUM(F13:F17)</f>
        <v/>
      </c>
    </row>
    <row r="20">
      <c r="A20" s="6" t="inlineStr">
        <is>
          <t>Normalize Matris (N)</t>
        </is>
      </c>
      <c r="B20" s="10" t="n"/>
      <c r="C20" s="10" t="n"/>
      <c r="D20" s="10" t="n"/>
      <c r="E20" s="10" t="n"/>
      <c r="F20" s="7" t="n"/>
    </row>
    <row r="21">
      <c r="B21" s="6" t="inlineStr">
        <is>
          <t>Ödeme</t>
        </is>
      </c>
      <c r="C21" s="6" t="inlineStr">
        <is>
          <t>Kullanıcı Deneyimi</t>
        </is>
      </c>
      <c r="D21" s="6" t="inlineStr">
        <is>
          <t>Kargo</t>
        </is>
      </c>
      <c r="E21" s="6" t="inlineStr">
        <is>
          <t>Müşteri Yorumları</t>
        </is>
      </c>
      <c r="F21" s="6" t="inlineStr">
        <is>
          <t>Fiyatlandırma</t>
        </is>
      </c>
    </row>
    <row r="22">
      <c r="A22" s="6" t="inlineStr">
        <is>
          <t>Ödeme</t>
        </is>
      </c>
      <c r="B22" s="11">
        <f>B13/B18</f>
        <v/>
      </c>
      <c r="C22" s="11">
        <f>C13/C18</f>
        <v/>
      </c>
      <c r="D22" s="11">
        <f>D13/D18</f>
        <v/>
      </c>
      <c r="E22" s="11">
        <f>E13/E18</f>
        <v/>
      </c>
      <c r="F22" s="11">
        <f>F13/F18</f>
        <v/>
      </c>
    </row>
    <row r="23">
      <c r="A23" s="6" t="inlineStr">
        <is>
          <t>Kullanıcı Deneyimi</t>
        </is>
      </c>
      <c r="B23" s="11">
        <f>B14/B18</f>
        <v/>
      </c>
      <c r="C23" s="11">
        <f>C14/C18</f>
        <v/>
      </c>
      <c r="D23" s="11">
        <f>D14/D18</f>
        <v/>
      </c>
      <c r="E23" s="11">
        <f>E14/E18</f>
        <v/>
      </c>
      <c r="F23" s="11">
        <f>F14/F18</f>
        <v/>
      </c>
    </row>
    <row r="24">
      <c r="A24" s="6" t="inlineStr">
        <is>
          <t>Kargo</t>
        </is>
      </c>
      <c r="B24" s="11">
        <f>B15/B18</f>
        <v/>
      </c>
      <c r="C24" s="11">
        <f>C15/C18</f>
        <v/>
      </c>
      <c r="D24" s="11">
        <f>D15/D18</f>
        <v/>
      </c>
      <c r="E24" s="11">
        <f>E15/E18</f>
        <v/>
      </c>
      <c r="F24" s="11">
        <f>F15/F18</f>
        <v/>
      </c>
    </row>
    <row r="25">
      <c r="A25" s="6" t="inlineStr">
        <is>
          <t>Müşteri Yorumları</t>
        </is>
      </c>
      <c r="B25" s="11">
        <f>B16/B18</f>
        <v/>
      </c>
      <c r="C25" s="11">
        <f>C16/C18</f>
        <v/>
      </c>
      <c r="D25" s="11">
        <f>D16/D18</f>
        <v/>
      </c>
      <c r="E25" s="11">
        <f>E16/E18</f>
        <v/>
      </c>
      <c r="F25" s="11">
        <f>F16/F18</f>
        <v/>
      </c>
    </row>
    <row r="26">
      <c r="A26" s="6" t="inlineStr">
        <is>
          <t>Fiyatlandırma</t>
        </is>
      </c>
      <c r="B26" s="11">
        <f>B17/B18</f>
        <v/>
      </c>
      <c r="C26" s="11">
        <f>C17/C18</f>
        <v/>
      </c>
      <c r="D26" s="11">
        <f>D17/D18</f>
        <v/>
      </c>
      <c r="E26" s="11">
        <f>E17/E18</f>
        <v/>
      </c>
      <c r="F26" s="11">
        <f>F17/F18</f>
        <v/>
      </c>
    </row>
    <row r="28">
      <c r="A28" s="6" t="inlineStr">
        <is>
          <t>Kriter</t>
        </is>
      </c>
      <c r="B28" s="6" t="inlineStr">
        <is>
          <t>ÖZV (w)</t>
        </is>
      </c>
      <c r="C28" s="6" t="inlineStr">
        <is>
          <t>A·w</t>
        </is>
      </c>
      <c r="D28" s="6" t="inlineStr">
        <is>
          <t>A·w / w</t>
        </is>
      </c>
    </row>
    <row r="29">
      <c r="A29" s="6" t="inlineStr">
        <is>
          <t>Ödeme</t>
        </is>
      </c>
      <c r="B29" s="11">
        <f>AVERAGE(B22:F22)</f>
        <v/>
      </c>
      <c r="C29" s="11">
        <f>B13*$B$29+C13*$B$30+D13*$B$31+E13*$B$32+F13*$B$33</f>
        <v/>
      </c>
      <c r="D29" s="11">
        <f>C29/B29</f>
        <v/>
      </c>
    </row>
    <row r="30">
      <c r="A30" s="6" t="inlineStr">
        <is>
          <t>Kullanıcı Deneyimi</t>
        </is>
      </c>
      <c r="B30" s="11">
        <f>AVERAGE(B23:F23)</f>
        <v/>
      </c>
      <c r="C30" s="11">
        <f>B14*$B$29+C14*$B$30+D14*$B$31+E14*$B$32+F14*$B$33</f>
        <v/>
      </c>
      <c r="D30" s="11">
        <f>C30/B30</f>
        <v/>
      </c>
    </row>
    <row r="31">
      <c r="A31" s="6" t="inlineStr">
        <is>
          <t>Kargo</t>
        </is>
      </c>
      <c r="B31" s="11">
        <f>AVERAGE(B24:F24)</f>
        <v/>
      </c>
      <c r="C31" s="11">
        <f>B15*$B$29+C15*$B$30+D15*$B$31+E15*$B$32+F15*$B$33</f>
        <v/>
      </c>
      <c r="D31" s="11">
        <f>C31/B31</f>
        <v/>
      </c>
    </row>
    <row r="32">
      <c r="A32" s="6" t="inlineStr">
        <is>
          <t>Müşteri Yorumları</t>
        </is>
      </c>
      <c r="B32" s="11">
        <f>AVERAGE(B25:F25)</f>
        <v/>
      </c>
      <c r="C32" s="11">
        <f>B16*$B$29+C16*$B$30+D16*$B$31+E16*$B$32+F16*$B$33</f>
        <v/>
      </c>
      <c r="D32" s="11">
        <f>C32/B32</f>
        <v/>
      </c>
    </row>
    <row r="33">
      <c r="A33" s="6" t="inlineStr">
        <is>
          <t>Fiyatlandırma</t>
        </is>
      </c>
      <c r="B33" s="11">
        <f>AVERAGE(B26:F26)</f>
        <v/>
      </c>
      <c r="C33" s="11">
        <f>B17*$B$29+C17*$B$30+D17*$B$31+E17*$B$32+F17*$B$33</f>
        <v/>
      </c>
      <c r="D33" s="11">
        <f>C33/B33</f>
        <v/>
      </c>
    </row>
    <row r="34">
      <c r="A34" s="6" t="inlineStr">
        <is>
          <t>Toplam</t>
        </is>
      </c>
      <c r="B34" s="11">
        <f>SUM(B29:B33)</f>
        <v/>
      </c>
    </row>
    <row r="36">
      <c r="A36" s="6" t="inlineStr">
        <is>
          <t>λ_max (ENBÖZD)</t>
        </is>
      </c>
      <c r="B36" s="11">
        <f>AVERAGE(D29:D33)</f>
        <v/>
      </c>
    </row>
    <row r="37">
      <c r="A37" s="6" t="inlineStr">
        <is>
          <t>n (kriter sayısı)</t>
        </is>
      </c>
      <c r="B37" s="9" t="n">
        <v>5</v>
      </c>
    </row>
    <row r="38">
      <c r="A38" s="6" t="inlineStr">
        <is>
          <t>CI = (λ_max - n) / (n - 1)</t>
        </is>
      </c>
      <c r="B38" s="11">
        <f>(B36-B37)/(B37-1)</f>
        <v/>
      </c>
    </row>
    <row r="39">
      <c r="A39" s="6" t="inlineStr">
        <is>
          <t>RI (n=5)</t>
        </is>
      </c>
      <c r="B39" s="11" t="n">
        <v>1.11</v>
      </c>
    </row>
    <row r="40">
      <c r="A40" s="6" t="inlineStr">
        <is>
          <t>CR = CI / RI</t>
        </is>
      </c>
      <c r="B40" s="11">
        <f>B38/B39</f>
        <v/>
      </c>
    </row>
    <row r="41">
      <c r="A41" s="6" t="inlineStr">
        <is>
          <t>Tutarlılık Eşiği</t>
        </is>
      </c>
      <c r="B41" s="9" t="n">
        <v>0.1</v>
      </c>
    </row>
    <row r="42">
      <c r="A42" s="6" t="inlineStr">
        <is>
          <t>Durum</t>
        </is>
      </c>
      <c r="B42" s="12">
        <f>IF(B40&lt;=B41,"Tutarlı","Tutarsız")</f>
        <v/>
      </c>
    </row>
  </sheetData>
  <mergeCells count="4">
    <mergeCell ref="A20:F20"/>
    <mergeCell ref="A11:F11"/>
    <mergeCell ref="A3:B3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KATILIMCI 15 - AHP ANALİZİ</t>
        </is>
      </c>
    </row>
    <row r="3">
      <c r="A3" s="6" t="inlineStr">
        <is>
          <t>Demografik Bilgiler</t>
        </is>
      </c>
      <c r="B3" s="7" t="n"/>
    </row>
    <row r="4">
      <c r="A4" s="8" t="inlineStr">
        <is>
          <t>Cinsiyet</t>
        </is>
      </c>
      <c r="B4" s="9">
        <f>Anket_Yanitlari!B16</f>
        <v/>
      </c>
    </row>
    <row r="5">
      <c r="A5" s="8" t="inlineStr">
        <is>
          <t>Yaş</t>
        </is>
      </c>
      <c r="B5" s="9">
        <f>Anket_Yanitlari!C16</f>
        <v/>
      </c>
    </row>
    <row r="6">
      <c r="A6" s="8" t="inlineStr">
        <is>
          <t>Eğitim</t>
        </is>
      </c>
      <c r="B6" s="9">
        <f>Anket_Yanitlari!D16</f>
        <v/>
      </c>
    </row>
    <row r="7">
      <c r="A7" s="8" t="inlineStr">
        <is>
          <t>Meslek</t>
        </is>
      </c>
      <c r="B7" s="9">
        <f>Anket_Yanitlari!E16</f>
        <v/>
      </c>
    </row>
    <row r="8">
      <c r="A8" s="8" t="inlineStr">
        <is>
          <t>Alışveriş Sıklığı</t>
        </is>
      </c>
      <c r="B8" s="9">
        <f>Anket_Yanitlari!F16</f>
        <v/>
      </c>
    </row>
    <row r="9">
      <c r="A9" s="8" t="inlineStr">
        <is>
          <t>Cihaz</t>
        </is>
      </c>
      <c r="B9" s="9">
        <f>Anket_Yanitlari!G16</f>
        <v/>
      </c>
    </row>
    <row r="11">
      <c r="A11" s="6" t="inlineStr">
        <is>
          <t>İkili Karşılaştırma Matrisi (A)</t>
        </is>
      </c>
      <c r="B11" s="10" t="n"/>
      <c r="C11" s="10" t="n"/>
      <c r="D11" s="10" t="n"/>
      <c r="E11" s="10" t="n"/>
      <c r="F11" s="7" t="n"/>
    </row>
    <row r="12">
      <c r="B12" s="6" t="inlineStr">
        <is>
          <t>Ödeme</t>
        </is>
      </c>
      <c r="C12" s="6" t="inlineStr">
        <is>
          <t>Kullanıcı Deneyimi</t>
        </is>
      </c>
      <c r="D12" s="6" t="inlineStr">
        <is>
          <t>Kargo</t>
        </is>
      </c>
      <c r="E12" s="6" t="inlineStr">
        <is>
          <t>Müşteri Yorumları</t>
        </is>
      </c>
      <c r="F12" s="6" t="inlineStr">
        <is>
          <t>Fiyatlandırma</t>
        </is>
      </c>
    </row>
    <row r="13">
      <c r="A13" s="6" t="inlineStr">
        <is>
          <t>Ödeme</t>
        </is>
      </c>
      <c r="B13" s="11" t="n">
        <v>1</v>
      </c>
      <c r="C13" s="11">
        <f>Anket_Yanitlari!H16</f>
        <v/>
      </c>
      <c r="D13" s="11">
        <f>Anket_Yanitlari!I16</f>
        <v/>
      </c>
      <c r="E13" s="11">
        <f>Anket_Yanitlari!J16</f>
        <v/>
      </c>
      <c r="F13" s="11">
        <f>Anket_Yanitlari!K16</f>
        <v/>
      </c>
    </row>
    <row r="14">
      <c r="A14" s="6" t="inlineStr">
        <is>
          <t>Kullanıcı Deneyimi</t>
        </is>
      </c>
      <c r="B14" s="11">
        <f>1/C13</f>
        <v/>
      </c>
      <c r="C14" s="11" t="n">
        <v>1</v>
      </c>
      <c r="D14" s="11">
        <f>Anket_Yanitlari!L16</f>
        <v/>
      </c>
      <c r="E14" s="11">
        <f>Anket_Yanitlari!M16</f>
        <v/>
      </c>
      <c r="F14" s="11">
        <f>Anket_Yanitlari!N16</f>
        <v/>
      </c>
    </row>
    <row r="15">
      <c r="A15" s="6" t="inlineStr">
        <is>
          <t>Kargo</t>
        </is>
      </c>
      <c r="B15" s="11">
        <f>1/D13</f>
        <v/>
      </c>
      <c r="C15" s="11">
        <f>1/D14</f>
        <v/>
      </c>
      <c r="D15" s="11" t="n">
        <v>1</v>
      </c>
      <c r="E15" s="11">
        <f>Anket_Yanitlari!O16</f>
        <v/>
      </c>
      <c r="F15" s="11">
        <f>Anket_Yanitlari!P16</f>
        <v/>
      </c>
    </row>
    <row r="16">
      <c r="A16" s="6" t="inlineStr">
        <is>
          <t>Müşteri Yorumları</t>
        </is>
      </c>
      <c r="B16" s="11">
        <f>1/E13</f>
        <v/>
      </c>
      <c r="C16" s="11">
        <f>1/E14</f>
        <v/>
      </c>
      <c r="D16" s="11">
        <f>1/E15</f>
        <v/>
      </c>
      <c r="E16" s="11" t="n">
        <v>1</v>
      </c>
      <c r="F16" s="11">
        <f>Anket_Yanitlari!Q16</f>
        <v/>
      </c>
    </row>
    <row r="17">
      <c r="A17" s="6" t="inlineStr">
        <is>
          <t>Fiyatlandırma</t>
        </is>
      </c>
      <c r="B17" s="11">
        <f>1/F13</f>
        <v/>
      </c>
      <c r="C17" s="11">
        <f>1/F14</f>
        <v/>
      </c>
      <c r="D17" s="11">
        <f>1/F15</f>
        <v/>
      </c>
      <c r="E17" s="11">
        <f>1/F16</f>
        <v/>
      </c>
      <c r="F17" s="11" t="n">
        <v>1</v>
      </c>
    </row>
    <row r="18">
      <c r="A18" s="6" t="inlineStr">
        <is>
          <t>Sütun Toplamı</t>
        </is>
      </c>
      <c r="B18" s="11">
        <f>SUM(B13:B17)</f>
        <v/>
      </c>
      <c r="C18" s="11">
        <f>SUM(C13:C17)</f>
        <v/>
      </c>
      <c r="D18" s="11">
        <f>SUM(D13:D17)</f>
        <v/>
      </c>
      <c r="E18" s="11">
        <f>SUM(E13:E17)</f>
        <v/>
      </c>
      <c r="F18" s="11">
        <f>SUM(F13:F17)</f>
        <v/>
      </c>
    </row>
    <row r="20">
      <c r="A20" s="6" t="inlineStr">
        <is>
          <t>Normalize Matris (N)</t>
        </is>
      </c>
      <c r="B20" s="10" t="n"/>
      <c r="C20" s="10" t="n"/>
      <c r="D20" s="10" t="n"/>
      <c r="E20" s="10" t="n"/>
      <c r="F20" s="7" t="n"/>
    </row>
    <row r="21">
      <c r="B21" s="6" t="inlineStr">
        <is>
          <t>Ödeme</t>
        </is>
      </c>
      <c r="C21" s="6" t="inlineStr">
        <is>
          <t>Kullanıcı Deneyimi</t>
        </is>
      </c>
      <c r="D21" s="6" t="inlineStr">
        <is>
          <t>Kargo</t>
        </is>
      </c>
      <c r="E21" s="6" t="inlineStr">
        <is>
          <t>Müşteri Yorumları</t>
        </is>
      </c>
      <c r="F21" s="6" t="inlineStr">
        <is>
          <t>Fiyatlandırma</t>
        </is>
      </c>
    </row>
    <row r="22">
      <c r="A22" s="6" t="inlineStr">
        <is>
          <t>Ödeme</t>
        </is>
      </c>
      <c r="B22" s="11">
        <f>B13/B18</f>
        <v/>
      </c>
      <c r="C22" s="11">
        <f>C13/C18</f>
        <v/>
      </c>
      <c r="D22" s="11">
        <f>D13/D18</f>
        <v/>
      </c>
      <c r="E22" s="11">
        <f>E13/E18</f>
        <v/>
      </c>
      <c r="F22" s="11">
        <f>F13/F18</f>
        <v/>
      </c>
    </row>
    <row r="23">
      <c r="A23" s="6" t="inlineStr">
        <is>
          <t>Kullanıcı Deneyimi</t>
        </is>
      </c>
      <c r="B23" s="11">
        <f>B14/B18</f>
        <v/>
      </c>
      <c r="C23" s="11">
        <f>C14/C18</f>
        <v/>
      </c>
      <c r="D23" s="11">
        <f>D14/D18</f>
        <v/>
      </c>
      <c r="E23" s="11">
        <f>E14/E18</f>
        <v/>
      </c>
      <c r="F23" s="11">
        <f>F14/F18</f>
        <v/>
      </c>
    </row>
    <row r="24">
      <c r="A24" s="6" t="inlineStr">
        <is>
          <t>Kargo</t>
        </is>
      </c>
      <c r="B24" s="11">
        <f>B15/B18</f>
        <v/>
      </c>
      <c r="C24" s="11">
        <f>C15/C18</f>
        <v/>
      </c>
      <c r="D24" s="11">
        <f>D15/D18</f>
        <v/>
      </c>
      <c r="E24" s="11">
        <f>E15/E18</f>
        <v/>
      </c>
      <c r="F24" s="11">
        <f>F15/F18</f>
        <v/>
      </c>
    </row>
    <row r="25">
      <c r="A25" s="6" t="inlineStr">
        <is>
          <t>Müşteri Yorumları</t>
        </is>
      </c>
      <c r="B25" s="11">
        <f>B16/B18</f>
        <v/>
      </c>
      <c r="C25" s="11">
        <f>C16/C18</f>
        <v/>
      </c>
      <c r="D25" s="11">
        <f>D16/D18</f>
        <v/>
      </c>
      <c r="E25" s="11">
        <f>E16/E18</f>
        <v/>
      </c>
      <c r="F25" s="11">
        <f>F16/F18</f>
        <v/>
      </c>
    </row>
    <row r="26">
      <c r="A26" s="6" t="inlineStr">
        <is>
          <t>Fiyatlandırma</t>
        </is>
      </c>
      <c r="B26" s="11">
        <f>B17/B18</f>
        <v/>
      </c>
      <c r="C26" s="11">
        <f>C17/C18</f>
        <v/>
      </c>
      <c r="D26" s="11">
        <f>D17/D18</f>
        <v/>
      </c>
      <c r="E26" s="11">
        <f>E17/E18</f>
        <v/>
      </c>
      <c r="F26" s="11">
        <f>F17/F18</f>
        <v/>
      </c>
    </row>
    <row r="28">
      <c r="A28" s="6" t="inlineStr">
        <is>
          <t>Kriter</t>
        </is>
      </c>
      <c r="B28" s="6" t="inlineStr">
        <is>
          <t>ÖZV (w)</t>
        </is>
      </c>
      <c r="C28" s="6" t="inlineStr">
        <is>
          <t>A·w</t>
        </is>
      </c>
      <c r="D28" s="6" t="inlineStr">
        <is>
          <t>A·w / w</t>
        </is>
      </c>
    </row>
    <row r="29">
      <c r="A29" s="6" t="inlineStr">
        <is>
          <t>Ödeme</t>
        </is>
      </c>
      <c r="B29" s="11">
        <f>AVERAGE(B22:F22)</f>
        <v/>
      </c>
      <c r="C29" s="11">
        <f>B13*$B$29+C13*$B$30+D13*$B$31+E13*$B$32+F13*$B$33</f>
        <v/>
      </c>
      <c r="D29" s="11">
        <f>C29/B29</f>
        <v/>
      </c>
    </row>
    <row r="30">
      <c r="A30" s="6" t="inlineStr">
        <is>
          <t>Kullanıcı Deneyimi</t>
        </is>
      </c>
      <c r="B30" s="11">
        <f>AVERAGE(B23:F23)</f>
        <v/>
      </c>
      <c r="C30" s="11">
        <f>B14*$B$29+C14*$B$30+D14*$B$31+E14*$B$32+F14*$B$33</f>
        <v/>
      </c>
      <c r="D30" s="11">
        <f>C30/B30</f>
        <v/>
      </c>
    </row>
    <row r="31">
      <c r="A31" s="6" t="inlineStr">
        <is>
          <t>Kargo</t>
        </is>
      </c>
      <c r="B31" s="11">
        <f>AVERAGE(B24:F24)</f>
        <v/>
      </c>
      <c r="C31" s="11">
        <f>B15*$B$29+C15*$B$30+D15*$B$31+E15*$B$32+F15*$B$33</f>
        <v/>
      </c>
      <c r="D31" s="11">
        <f>C31/B31</f>
        <v/>
      </c>
    </row>
    <row r="32">
      <c r="A32" s="6" t="inlineStr">
        <is>
          <t>Müşteri Yorumları</t>
        </is>
      </c>
      <c r="B32" s="11">
        <f>AVERAGE(B25:F25)</f>
        <v/>
      </c>
      <c r="C32" s="11">
        <f>B16*$B$29+C16*$B$30+D16*$B$31+E16*$B$32+F16*$B$33</f>
        <v/>
      </c>
      <c r="D32" s="11">
        <f>C32/B32</f>
        <v/>
      </c>
    </row>
    <row r="33">
      <c r="A33" s="6" t="inlineStr">
        <is>
          <t>Fiyatlandırma</t>
        </is>
      </c>
      <c r="B33" s="11">
        <f>AVERAGE(B26:F26)</f>
        <v/>
      </c>
      <c r="C33" s="11">
        <f>B17*$B$29+C17*$B$30+D17*$B$31+E17*$B$32+F17*$B$33</f>
        <v/>
      </c>
      <c r="D33" s="11">
        <f>C33/B33</f>
        <v/>
      </c>
    </row>
    <row r="34">
      <c r="A34" s="6" t="inlineStr">
        <is>
          <t>Toplam</t>
        </is>
      </c>
      <c r="B34" s="11">
        <f>SUM(B29:B33)</f>
        <v/>
      </c>
    </row>
    <row r="36">
      <c r="A36" s="6" t="inlineStr">
        <is>
          <t>λ_max (ENBÖZD)</t>
        </is>
      </c>
      <c r="B36" s="11">
        <f>AVERAGE(D29:D33)</f>
        <v/>
      </c>
    </row>
    <row r="37">
      <c r="A37" s="6" t="inlineStr">
        <is>
          <t>n (kriter sayısı)</t>
        </is>
      </c>
      <c r="B37" s="9" t="n">
        <v>5</v>
      </c>
    </row>
    <row r="38">
      <c r="A38" s="6" t="inlineStr">
        <is>
          <t>CI = (λ_max - n) / (n - 1)</t>
        </is>
      </c>
      <c r="B38" s="11">
        <f>(B36-B37)/(B37-1)</f>
        <v/>
      </c>
    </row>
    <row r="39">
      <c r="A39" s="6" t="inlineStr">
        <is>
          <t>RI (n=5)</t>
        </is>
      </c>
      <c r="B39" s="11" t="n">
        <v>1.11</v>
      </c>
    </row>
    <row r="40">
      <c r="A40" s="6" t="inlineStr">
        <is>
          <t>CR = CI / RI</t>
        </is>
      </c>
      <c r="B40" s="11">
        <f>B38/B39</f>
        <v/>
      </c>
    </row>
    <row r="41">
      <c r="A41" s="6" t="inlineStr">
        <is>
          <t>Tutarlılık Eşiği</t>
        </is>
      </c>
      <c r="B41" s="9" t="n">
        <v>0.1</v>
      </c>
    </row>
    <row r="42">
      <c r="A42" s="6" t="inlineStr">
        <is>
          <t>Durum</t>
        </is>
      </c>
      <c r="B42" s="12">
        <f>IF(B40&lt;=B41,"Tutarlı","Tutarsız")</f>
        <v/>
      </c>
    </row>
  </sheetData>
  <mergeCells count="4">
    <mergeCell ref="A20:F20"/>
    <mergeCell ref="A11:F11"/>
    <mergeCell ref="A3:B3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KATILIMCI 16 - AHP ANALİZİ</t>
        </is>
      </c>
    </row>
    <row r="3">
      <c r="A3" s="6" t="inlineStr">
        <is>
          <t>Demografik Bilgiler</t>
        </is>
      </c>
      <c r="B3" s="7" t="n"/>
    </row>
    <row r="4">
      <c r="A4" s="8" t="inlineStr">
        <is>
          <t>Cinsiyet</t>
        </is>
      </c>
      <c r="B4" s="9">
        <f>Anket_Yanitlari!B17</f>
        <v/>
      </c>
    </row>
    <row r="5">
      <c r="A5" s="8" t="inlineStr">
        <is>
          <t>Yaş</t>
        </is>
      </c>
      <c r="B5" s="9">
        <f>Anket_Yanitlari!C17</f>
        <v/>
      </c>
    </row>
    <row r="6">
      <c r="A6" s="8" t="inlineStr">
        <is>
          <t>Eğitim</t>
        </is>
      </c>
      <c r="B6" s="9">
        <f>Anket_Yanitlari!D17</f>
        <v/>
      </c>
    </row>
    <row r="7">
      <c r="A7" s="8" t="inlineStr">
        <is>
          <t>Meslek</t>
        </is>
      </c>
      <c r="B7" s="9">
        <f>Anket_Yanitlari!E17</f>
        <v/>
      </c>
    </row>
    <row r="8">
      <c r="A8" s="8" t="inlineStr">
        <is>
          <t>Alışveriş Sıklığı</t>
        </is>
      </c>
      <c r="B8" s="9">
        <f>Anket_Yanitlari!F17</f>
        <v/>
      </c>
    </row>
    <row r="9">
      <c r="A9" s="8" t="inlineStr">
        <is>
          <t>Cihaz</t>
        </is>
      </c>
      <c r="B9" s="9">
        <f>Anket_Yanitlari!G17</f>
        <v/>
      </c>
    </row>
    <row r="11">
      <c r="A11" s="6" t="inlineStr">
        <is>
          <t>İkili Karşılaştırma Matrisi (A)</t>
        </is>
      </c>
      <c r="B11" s="10" t="n"/>
      <c r="C11" s="10" t="n"/>
      <c r="D11" s="10" t="n"/>
      <c r="E11" s="10" t="n"/>
      <c r="F11" s="7" t="n"/>
    </row>
    <row r="12">
      <c r="B12" s="6" t="inlineStr">
        <is>
          <t>Ödeme</t>
        </is>
      </c>
      <c r="C12" s="6" t="inlineStr">
        <is>
          <t>Kullanıcı Deneyimi</t>
        </is>
      </c>
      <c r="D12" s="6" t="inlineStr">
        <is>
          <t>Kargo</t>
        </is>
      </c>
      <c r="E12" s="6" t="inlineStr">
        <is>
          <t>Müşteri Yorumları</t>
        </is>
      </c>
      <c r="F12" s="6" t="inlineStr">
        <is>
          <t>Fiyatlandırma</t>
        </is>
      </c>
    </row>
    <row r="13">
      <c r="A13" s="6" t="inlineStr">
        <is>
          <t>Ödeme</t>
        </is>
      </c>
      <c r="B13" s="11" t="n">
        <v>1</v>
      </c>
      <c r="C13" s="11">
        <f>Anket_Yanitlari!H17</f>
        <v/>
      </c>
      <c r="D13" s="11">
        <f>Anket_Yanitlari!I17</f>
        <v/>
      </c>
      <c r="E13" s="11">
        <f>Anket_Yanitlari!J17</f>
        <v/>
      </c>
      <c r="F13" s="11">
        <f>Anket_Yanitlari!K17</f>
        <v/>
      </c>
    </row>
    <row r="14">
      <c r="A14" s="6" t="inlineStr">
        <is>
          <t>Kullanıcı Deneyimi</t>
        </is>
      </c>
      <c r="B14" s="11">
        <f>1/C13</f>
        <v/>
      </c>
      <c r="C14" s="11" t="n">
        <v>1</v>
      </c>
      <c r="D14" s="11">
        <f>Anket_Yanitlari!L17</f>
        <v/>
      </c>
      <c r="E14" s="11">
        <f>Anket_Yanitlari!M17</f>
        <v/>
      </c>
      <c r="F14" s="11">
        <f>Anket_Yanitlari!N17</f>
        <v/>
      </c>
    </row>
    <row r="15">
      <c r="A15" s="6" t="inlineStr">
        <is>
          <t>Kargo</t>
        </is>
      </c>
      <c r="B15" s="11">
        <f>1/D13</f>
        <v/>
      </c>
      <c r="C15" s="11">
        <f>1/D14</f>
        <v/>
      </c>
      <c r="D15" s="11" t="n">
        <v>1</v>
      </c>
      <c r="E15" s="11">
        <f>Anket_Yanitlari!O17</f>
        <v/>
      </c>
      <c r="F15" s="11">
        <f>Anket_Yanitlari!P17</f>
        <v/>
      </c>
    </row>
    <row r="16">
      <c r="A16" s="6" t="inlineStr">
        <is>
          <t>Müşteri Yorumları</t>
        </is>
      </c>
      <c r="B16" s="11">
        <f>1/E13</f>
        <v/>
      </c>
      <c r="C16" s="11">
        <f>1/E14</f>
        <v/>
      </c>
      <c r="D16" s="11">
        <f>1/E15</f>
        <v/>
      </c>
      <c r="E16" s="11" t="n">
        <v>1</v>
      </c>
      <c r="F16" s="11">
        <f>Anket_Yanitlari!Q17</f>
        <v/>
      </c>
    </row>
    <row r="17">
      <c r="A17" s="6" t="inlineStr">
        <is>
          <t>Fiyatlandırma</t>
        </is>
      </c>
      <c r="B17" s="11">
        <f>1/F13</f>
        <v/>
      </c>
      <c r="C17" s="11">
        <f>1/F14</f>
        <v/>
      </c>
      <c r="D17" s="11">
        <f>1/F15</f>
        <v/>
      </c>
      <c r="E17" s="11">
        <f>1/F16</f>
        <v/>
      </c>
      <c r="F17" s="11" t="n">
        <v>1</v>
      </c>
    </row>
    <row r="18">
      <c r="A18" s="6" t="inlineStr">
        <is>
          <t>Sütun Toplamı</t>
        </is>
      </c>
      <c r="B18" s="11">
        <f>SUM(B13:B17)</f>
        <v/>
      </c>
      <c r="C18" s="11">
        <f>SUM(C13:C17)</f>
        <v/>
      </c>
      <c r="D18" s="11">
        <f>SUM(D13:D17)</f>
        <v/>
      </c>
      <c r="E18" s="11">
        <f>SUM(E13:E17)</f>
        <v/>
      </c>
      <c r="F18" s="11">
        <f>SUM(F13:F17)</f>
        <v/>
      </c>
    </row>
    <row r="20">
      <c r="A20" s="6" t="inlineStr">
        <is>
          <t>Normalize Matris (N)</t>
        </is>
      </c>
      <c r="B20" s="10" t="n"/>
      <c r="C20" s="10" t="n"/>
      <c r="D20" s="10" t="n"/>
      <c r="E20" s="10" t="n"/>
      <c r="F20" s="7" t="n"/>
    </row>
    <row r="21">
      <c r="B21" s="6" t="inlineStr">
        <is>
          <t>Ödeme</t>
        </is>
      </c>
      <c r="C21" s="6" t="inlineStr">
        <is>
          <t>Kullanıcı Deneyimi</t>
        </is>
      </c>
      <c r="D21" s="6" t="inlineStr">
        <is>
          <t>Kargo</t>
        </is>
      </c>
      <c r="E21" s="6" t="inlineStr">
        <is>
          <t>Müşteri Yorumları</t>
        </is>
      </c>
      <c r="F21" s="6" t="inlineStr">
        <is>
          <t>Fiyatlandırma</t>
        </is>
      </c>
    </row>
    <row r="22">
      <c r="A22" s="6" t="inlineStr">
        <is>
          <t>Ödeme</t>
        </is>
      </c>
      <c r="B22" s="11">
        <f>B13/B18</f>
        <v/>
      </c>
      <c r="C22" s="11">
        <f>C13/C18</f>
        <v/>
      </c>
      <c r="D22" s="11">
        <f>D13/D18</f>
        <v/>
      </c>
      <c r="E22" s="11">
        <f>E13/E18</f>
        <v/>
      </c>
      <c r="F22" s="11">
        <f>F13/F18</f>
        <v/>
      </c>
    </row>
    <row r="23">
      <c r="A23" s="6" t="inlineStr">
        <is>
          <t>Kullanıcı Deneyimi</t>
        </is>
      </c>
      <c r="B23" s="11">
        <f>B14/B18</f>
        <v/>
      </c>
      <c r="C23" s="11">
        <f>C14/C18</f>
        <v/>
      </c>
      <c r="D23" s="11">
        <f>D14/D18</f>
        <v/>
      </c>
      <c r="E23" s="11">
        <f>E14/E18</f>
        <v/>
      </c>
      <c r="F23" s="11">
        <f>F14/F18</f>
        <v/>
      </c>
    </row>
    <row r="24">
      <c r="A24" s="6" t="inlineStr">
        <is>
          <t>Kargo</t>
        </is>
      </c>
      <c r="B24" s="11">
        <f>B15/B18</f>
        <v/>
      </c>
      <c r="C24" s="11">
        <f>C15/C18</f>
        <v/>
      </c>
      <c r="D24" s="11">
        <f>D15/D18</f>
        <v/>
      </c>
      <c r="E24" s="11">
        <f>E15/E18</f>
        <v/>
      </c>
      <c r="F24" s="11">
        <f>F15/F18</f>
        <v/>
      </c>
    </row>
    <row r="25">
      <c r="A25" s="6" t="inlineStr">
        <is>
          <t>Müşteri Yorumları</t>
        </is>
      </c>
      <c r="B25" s="11">
        <f>B16/B18</f>
        <v/>
      </c>
      <c r="C25" s="11">
        <f>C16/C18</f>
        <v/>
      </c>
      <c r="D25" s="11">
        <f>D16/D18</f>
        <v/>
      </c>
      <c r="E25" s="11">
        <f>E16/E18</f>
        <v/>
      </c>
      <c r="F25" s="11">
        <f>F16/F18</f>
        <v/>
      </c>
    </row>
    <row r="26">
      <c r="A26" s="6" t="inlineStr">
        <is>
          <t>Fiyatlandırma</t>
        </is>
      </c>
      <c r="B26" s="11">
        <f>B17/B18</f>
        <v/>
      </c>
      <c r="C26" s="11">
        <f>C17/C18</f>
        <v/>
      </c>
      <c r="D26" s="11">
        <f>D17/D18</f>
        <v/>
      </c>
      <c r="E26" s="11">
        <f>E17/E18</f>
        <v/>
      </c>
      <c r="F26" s="11">
        <f>F17/F18</f>
        <v/>
      </c>
    </row>
    <row r="28">
      <c r="A28" s="6" t="inlineStr">
        <is>
          <t>Kriter</t>
        </is>
      </c>
      <c r="B28" s="6" t="inlineStr">
        <is>
          <t>ÖZV (w)</t>
        </is>
      </c>
      <c r="C28" s="6" t="inlineStr">
        <is>
          <t>A·w</t>
        </is>
      </c>
      <c r="D28" s="6" t="inlineStr">
        <is>
          <t>A·w / w</t>
        </is>
      </c>
    </row>
    <row r="29">
      <c r="A29" s="6" t="inlineStr">
        <is>
          <t>Ödeme</t>
        </is>
      </c>
      <c r="B29" s="11">
        <f>AVERAGE(B22:F22)</f>
        <v/>
      </c>
      <c r="C29" s="11">
        <f>B13*$B$29+C13*$B$30+D13*$B$31+E13*$B$32+F13*$B$33</f>
        <v/>
      </c>
      <c r="D29" s="11">
        <f>C29/B29</f>
        <v/>
      </c>
    </row>
    <row r="30">
      <c r="A30" s="6" t="inlineStr">
        <is>
          <t>Kullanıcı Deneyimi</t>
        </is>
      </c>
      <c r="B30" s="11">
        <f>AVERAGE(B23:F23)</f>
        <v/>
      </c>
      <c r="C30" s="11">
        <f>B14*$B$29+C14*$B$30+D14*$B$31+E14*$B$32+F14*$B$33</f>
        <v/>
      </c>
      <c r="D30" s="11">
        <f>C30/B30</f>
        <v/>
      </c>
    </row>
    <row r="31">
      <c r="A31" s="6" t="inlineStr">
        <is>
          <t>Kargo</t>
        </is>
      </c>
      <c r="B31" s="11">
        <f>AVERAGE(B24:F24)</f>
        <v/>
      </c>
      <c r="C31" s="11">
        <f>B15*$B$29+C15*$B$30+D15*$B$31+E15*$B$32+F15*$B$33</f>
        <v/>
      </c>
      <c r="D31" s="11">
        <f>C31/B31</f>
        <v/>
      </c>
    </row>
    <row r="32">
      <c r="A32" s="6" t="inlineStr">
        <is>
          <t>Müşteri Yorumları</t>
        </is>
      </c>
      <c r="B32" s="11">
        <f>AVERAGE(B25:F25)</f>
        <v/>
      </c>
      <c r="C32" s="11">
        <f>B16*$B$29+C16*$B$30+D16*$B$31+E16*$B$32+F16*$B$33</f>
        <v/>
      </c>
      <c r="D32" s="11">
        <f>C32/B32</f>
        <v/>
      </c>
    </row>
    <row r="33">
      <c r="A33" s="6" t="inlineStr">
        <is>
          <t>Fiyatlandırma</t>
        </is>
      </c>
      <c r="B33" s="11">
        <f>AVERAGE(B26:F26)</f>
        <v/>
      </c>
      <c r="C33" s="11">
        <f>B17*$B$29+C17*$B$30+D17*$B$31+E17*$B$32+F17*$B$33</f>
        <v/>
      </c>
      <c r="D33" s="11">
        <f>C33/B33</f>
        <v/>
      </c>
    </row>
    <row r="34">
      <c r="A34" s="6" t="inlineStr">
        <is>
          <t>Toplam</t>
        </is>
      </c>
      <c r="B34" s="11">
        <f>SUM(B29:B33)</f>
        <v/>
      </c>
    </row>
    <row r="36">
      <c r="A36" s="6" t="inlineStr">
        <is>
          <t>λ_max (ENBÖZD)</t>
        </is>
      </c>
      <c r="B36" s="11">
        <f>AVERAGE(D29:D33)</f>
        <v/>
      </c>
    </row>
    <row r="37">
      <c r="A37" s="6" t="inlineStr">
        <is>
          <t>n (kriter sayısı)</t>
        </is>
      </c>
      <c r="B37" s="9" t="n">
        <v>5</v>
      </c>
    </row>
    <row r="38">
      <c r="A38" s="6" t="inlineStr">
        <is>
          <t>CI = (λ_max - n) / (n - 1)</t>
        </is>
      </c>
      <c r="B38" s="11">
        <f>(B36-B37)/(B37-1)</f>
        <v/>
      </c>
    </row>
    <row r="39">
      <c r="A39" s="6" t="inlineStr">
        <is>
          <t>RI (n=5)</t>
        </is>
      </c>
      <c r="B39" s="11" t="n">
        <v>1.11</v>
      </c>
    </row>
    <row r="40">
      <c r="A40" s="6" t="inlineStr">
        <is>
          <t>CR = CI / RI</t>
        </is>
      </c>
      <c r="B40" s="11">
        <f>B38/B39</f>
        <v/>
      </c>
    </row>
    <row r="41">
      <c r="A41" s="6" t="inlineStr">
        <is>
          <t>Tutarlılık Eşiği</t>
        </is>
      </c>
      <c r="B41" s="9" t="n">
        <v>0.1</v>
      </c>
    </row>
    <row r="42">
      <c r="A42" s="6" t="inlineStr">
        <is>
          <t>Durum</t>
        </is>
      </c>
      <c r="B42" s="12">
        <f>IF(B40&lt;=B41,"Tutarlı","Tutarsız")</f>
        <v/>
      </c>
    </row>
  </sheetData>
  <mergeCells count="4">
    <mergeCell ref="A20:F20"/>
    <mergeCell ref="A11:F11"/>
    <mergeCell ref="A3:B3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KATILIMCI 17 - AHP ANALİZİ</t>
        </is>
      </c>
    </row>
    <row r="3">
      <c r="A3" s="6" t="inlineStr">
        <is>
          <t>Demografik Bilgiler</t>
        </is>
      </c>
      <c r="B3" s="7" t="n"/>
    </row>
    <row r="4">
      <c r="A4" s="8" t="inlineStr">
        <is>
          <t>Cinsiyet</t>
        </is>
      </c>
      <c r="B4" s="9">
        <f>Anket_Yanitlari!B18</f>
        <v/>
      </c>
    </row>
    <row r="5">
      <c r="A5" s="8" t="inlineStr">
        <is>
          <t>Yaş</t>
        </is>
      </c>
      <c r="B5" s="9">
        <f>Anket_Yanitlari!C18</f>
        <v/>
      </c>
    </row>
    <row r="6">
      <c r="A6" s="8" t="inlineStr">
        <is>
          <t>Eğitim</t>
        </is>
      </c>
      <c r="B6" s="9">
        <f>Anket_Yanitlari!D18</f>
        <v/>
      </c>
    </row>
    <row r="7">
      <c r="A7" s="8" t="inlineStr">
        <is>
          <t>Meslek</t>
        </is>
      </c>
      <c r="B7" s="9">
        <f>Anket_Yanitlari!E18</f>
        <v/>
      </c>
    </row>
    <row r="8">
      <c r="A8" s="8" t="inlineStr">
        <is>
          <t>Alışveriş Sıklığı</t>
        </is>
      </c>
      <c r="B8" s="9">
        <f>Anket_Yanitlari!F18</f>
        <v/>
      </c>
    </row>
    <row r="9">
      <c r="A9" s="8" t="inlineStr">
        <is>
          <t>Cihaz</t>
        </is>
      </c>
      <c r="B9" s="9">
        <f>Anket_Yanitlari!G18</f>
        <v/>
      </c>
    </row>
    <row r="11">
      <c r="A11" s="6" t="inlineStr">
        <is>
          <t>İkili Karşılaştırma Matrisi (A)</t>
        </is>
      </c>
      <c r="B11" s="10" t="n"/>
      <c r="C11" s="10" t="n"/>
      <c r="D11" s="10" t="n"/>
      <c r="E11" s="10" t="n"/>
      <c r="F11" s="7" t="n"/>
    </row>
    <row r="12">
      <c r="B12" s="6" t="inlineStr">
        <is>
          <t>Ödeme</t>
        </is>
      </c>
      <c r="C12" s="6" t="inlineStr">
        <is>
          <t>Kullanıcı Deneyimi</t>
        </is>
      </c>
      <c r="D12" s="6" t="inlineStr">
        <is>
          <t>Kargo</t>
        </is>
      </c>
      <c r="E12" s="6" t="inlineStr">
        <is>
          <t>Müşteri Yorumları</t>
        </is>
      </c>
      <c r="F12" s="6" t="inlineStr">
        <is>
          <t>Fiyatlandırma</t>
        </is>
      </c>
    </row>
    <row r="13">
      <c r="A13" s="6" t="inlineStr">
        <is>
          <t>Ödeme</t>
        </is>
      </c>
      <c r="B13" s="11" t="n">
        <v>1</v>
      </c>
      <c r="C13" s="11">
        <f>Anket_Yanitlari!H18</f>
        <v/>
      </c>
      <c r="D13" s="11">
        <f>Anket_Yanitlari!I18</f>
        <v/>
      </c>
      <c r="E13" s="11">
        <f>Anket_Yanitlari!J18</f>
        <v/>
      </c>
      <c r="F13" s="11">
        <f>Anket_Yanitlari!K18</f>
        <v/>
      </c>
    </row>
    <row r="14">
      <c r="A14" s="6" t="inlineStr">
        <is>
          <t>Kullanıcı Deneyimi</t>
        </is>
      </c>
      <c r="B14" s="11">
        <f>1/C13</f>
        <v/>
      </c>
      <c r="C14" s="11" t="n">
        <v>1</v>
      </c>
      <c r="D14" s="11">
        <f>Anket_Yanitlari!L18</f>
        <v/>
      </c>
      <c r="E14" s="11">
        <f>Anket_Yanitlari!M18</f>
        <v/>
      </c>
      <c r="F14" s="11">
        <f>Anket_Yanitlari!N18</f>
        <v/>
      </c>
    </row>
    <row r="15">
      <c r="A15" s="6" t="inlineStr">
        <is>
          <t>Kargo</t>
        </is>
      </c>
      <c r="B15" s="11">
        <f>1/D13</f>
        <v/>
      </c>
      <c r="C15" s="11">
        <f>1/D14</f>
        <v/>
      </c>
      <c r="D15" s="11" t="n">
        <v>1</v>
      </c>
      <c r="E15" s="11">
        <f>Anket_Yanitlari!O18</f>
        <v/>
      </c>
      <c r="F15" s="11">
        <f>Anket_Yanitlari!P18</f>
        <v/>
      </c>
    </row>
    <row r="16">
      <c r="A16" s="6" t="inlineStr">
        <is>
          <t>Müşteri Yorumları</t>
        </is>
      </c>
      <c r="B16" s="11">
        <f>1/E13</f>
        <v/>
      </c>
      <c r="C16" s="11">
        <f>1/E14</f>
        <v/>
      </c>
      <c r="D16" s="11">
        <f>1/E15</f>
        <v/>
      </c>
      <c r="E16" s="11" t="n">
        <v>1</v>
      </c>
      <c r="F16" s="11">
        <f>Anket_Yanitlari!Q18</f>
        <v/>
      </c>
    </row>
    <row r="17">
      <c r="A17" s="6" t="inlineStr">
        <is>
          <t>Fiyatlandırma</t>
        </is>
      </c>
      <c r="B17" s="11">
        <f>1/F13</f>
        <v/>
      </c>
      <c r="C17" s="11">
        <f>1/F14</f>
        <v/>
      </c>
      <c r="D17" s="11">
        <f>1/F15</f>
        <v/>
      </c>
      <c r="E17" s="11">
        <f>1/F16</f>
        <v/>
      </c>
      <c r="F17" s="11" t="n">
        <v>1</v>
      </c>
    </row>
    <row r="18">
      <c r="A18" s="6" t="inlineStr">
        <is>
          <t>Sütun Toplamı</t>
        </is>
      </c>
      <c r="B18" s="11">
        <f>SUM(B13:B17)</f>
        <v/>
      </c>
      <c r="C18" s="11">
        <f>SUM(C13:C17)</f>
        <v/>
      </c>
      <c r="D18" s="11">
        <f>SUM(D13:D17)</f>
        <v/>
      </c>
      <c r="E18" s="11">
        <f>SUM(E13:E17)</f>
        <v/>
      </c>
      <c r="F18" s="11">
        <f>SUM(F13:F17)</f>
        <v/>
      </c>
    </row>
    <row r="20">
      <c r="A20" s="6" t="inlineStr">
        <is>
          <t>Normalize Matris (N)</t>
        </is>
      </c>
      <c r="B20" s="10" t="n"/>
      <c r="C20" s="10" t="n"/>
      <c r="D20" s="10" t="n"/>
      <c r="E20" s="10" t="n"/>
      <c r="F20" s="7" t="n"/>
    </row>
    <row r="21">
      <c r="B21" s="6" t="inlineStr">
        <is>
          <t>Ödeme</t>
        </is>
      </c>
      <c r="C21" s="6" t="inlineStr">
        <is>
          <t>Kullanıcı Deneyimi</t>
        </is>
      </c>
      <c r="D21" s="6" t="inlineStr">
        <is>
          <t>Kargo</t>
        </is>
      </c>
      <c r="E21" s="6" t="inlineStr">
        <is>
          <t>Müşteri Yorumları</t>
        </is>
      </c>
      <c r="F21" s="6" t="inlineStr">
        <is>
          <t>Fiyatlandırma</t>
        </is>
      </c>
    </row>
    <row r="22">
      <c r="A22" s="6" t="inlineStr">
        <is>
          <t>Ödeme</t>
        </is>
      </c>
      <c r="B22" s="11">
        <f>B13/B18</f>
        <v/>
      </c>
      <c r="C22" s="11">
        <f>C13/C18</f>
        <v/>
      </c>
      <c r="D22" s="11">
        <f>D13/D18</f>
        <v/>
      </c>
      <c r="E22" s="11">
        <f>E13/E18</f>
        <v/>
      </c>
      <c r="F22" s="11">
        <f>F13/F18</f>
        <v/>
      </c>
    </row>
    <row r="23">
      <c r="A23" s="6" t="inlineStr">
        <is>
          <t>Kullanıcı Deneyimi</t>
        </is>
      </c>
      <c r="B23" s="11">
        <f>B14/B18</f>
        <v/>
      </c>
      <c r="C23" s="11">
        <f>C14/C18</f>
        <v/>
      </c>
      <c r="D23" s="11">
        <f>D14/D18</f>
        <v/>
      </c>
      <c r="E23" s="11">
        <f>E14/E18</f>
        <v/>
      </c>
      <c r="F23" s="11">
        <f>F14/F18</f>
        <v/>
      </c>
    </row>
    <row r="24">
      <c r="A24" s="6" t="inlineStr">
        <is>
          <t>Kargo</t>
        </is>
      </c>
      <c r="B24" s="11">
        <f>B15/B18</f>
        <v/>
      </c>
      <c r="C24" s="11">
        <f>C15/C18</f>
        <v/>
      </c>
      <c r="D24" s="11">
        <f>D15/D18</f>
        <v/>
      </c>
      <c r="E24" s="11">
        <f>E15/E18</f>
        <v/>
      </c>
      <c r="F24" s="11">
        <f>F15/F18</f>
        <v/>
      </c>
    </row>
    <row r="25">
      <c r="A25" s="6" t="inlineStr">
        <is>
          <t>Müşteri Yorumları</t>
        </is>
      </c>
      <c r="B25" s="11">
        <f>B16/B18</f>
        <v/>
      </c>
      <c r="C25" s="11">
        <f>C16/C18</f>
        <v/>
      </c>
      <c r="D25" s="11">
        <f>D16/D18</f>
        <v/>
      </c>
      <c r="E25" s="11">
        <f>E16/E18</f>
        <v/>
      </c>
      <c r="F25" s="11">
        <f>F16/F18</f>
        <v/>
      </c>
    </row>
    <row r="26">
      <c r="A26" s="6" t="inlineStr">
        <is>
          <t>Fiyatlandırma</t>
        </is>
      </c>
      <c r="B26" s="11">
        <f>B17/B18</f>
        <v/>
      </c>
      <c r="C26" s="11">
        <f>C17/C18</f>
        <v/>
      </c>
      <c r="D26" s="11">
        <f>D17/D18</f>
        <v/>
      </c>
      <c r="E26" s="11">
        <f>E17/E18</f>
        <v/>
      </c>
      <c r="F26" s="11">
        <f>F17/F18</f>
        <v/>
      </c>
    </row>
    <row r="28">
      <c r="A28" s="6" t="inlineStr">
        <is>
          <t>Kriter</t>
        </is>
      </c>
      <c r="B28" s="6" t="inlineStr">
        <is>
          <t>ÖZV (w)</t>
        </is>
      </c>
      <c r="C28" s="6" t="inlineStr">
        <is>
          <t>A·w</t>
        </is>
      </c>
      <c r="D28" s="6" t="inlineStr">
        <is>
          <t>A·w / w</t>
        </is>
      </c>
    </row>
    <row r="29">
      <c r="A29" s="6" t="inlineStr">
        <is>
          <t>Ödeme</t>
        </is>
      </c>
      <c r="B29" s="11">
        <f>AVERAGE(B22:F22)</f>
        <v/>
      </c>
      <c r="C29" s="11">
        <f>B13*$B$29+C13*$B$30+D13*$B$31+E13*$B$32+F13*$B$33</f>
        <v/>
      </c>
      <c r="D29" s="11">
        <f>C29/B29</f>
        <v/>
      </c>
    </row>
    <row r="30">
      <c r="A30" s="6" t="inlineStr">
        <is>
          <t>Kullanıcı Deneyimi</t>
        </is>
      </c>
      <c r="B30" s="11">
        <f>AVERAGE(B23:F23)</f>
        <v/>
      </c>
      <c r="C30" s="11">
        <f>B14*$B$29+C14*$B$30+D14*$B$31+E14*$B$32+F14*$B$33</f>
        <v/>
      </c>
      <c r="D30" s="11">
        <f>C30/B30</f>
        <v/>
      </c>
    </row>
    <row r="31">
      <c r="A31" s="6" t="inlineStr">
        <is>
          <t>Kargo</t>
        </is>
      </c>
      <c r="B31" s="11">
        <f>AVERAGE(B24:F24)</f>
        <v/>
      </c>
      <c r="C31" s="11">
        <f>B15*$B$29+C15*$B$30+D15*$B$31+E15*$B$32+F15*$B$33</f>
        <v/>
      </c>
      <c r="D31" s="11">
        <f>C31/B31</f>
        <v/>
      </c>
    </row>
    <row r="32">
      <c r="A32" s="6" t="inlineStr">
        <is>
          <t>Müşteri Yorumları</t>
        </is>
      </c>
      <c r="B32" s="11">
        <f>AVERAGE(B25:F25)</f>
        <v/>
      </c>
      <c r="C32" s="11">
        <f>B16*$B$29+C16*$B$30+D16*$B$31+E16*$B$32+F16*$B$33</f>
        <v/>
      </c>
      <c r="D32" s="11">
        <f>C32/B32</f>
        <v/>
      </c>
    </row>
    <row r="33">
      <c r="A33" s="6" t="inlineStr">
        <is>
          <t>Fiyatlandırma</t>
        </is>
      </c>
      <c r="B33" s="11">
        <f>AVERAGE(B26:F26)</f>
        <v/>
      </c>
      <c r="C33" s="11">
        <f>B17*$B$29+C17*$B$30+D17*$B$31+E17*$B$32+F17*$B$33</f>
        <v/>
      </c>
      <c r="D33" s="11">
        <f>C33/B33</f>
        <v/>
      </c>
    </row>
    <row r="34">
      <c r="A34" s="6" t="inlineStr">
        <is>
          <t>Toplam</t>
        </is>
      </c>
      <c r="B34" s="11">
        <f>SUM(B29:B33)</f>
        <v/>
      </c>
    </row>
    <row r="36">
      <c r="A36" s="6" t="inlineStr">
        <is>
          <t>λ_max (ENBÖZD)</t>
        </is>
      </c>
      <c r="B36" s="11">
        <f>AVERAGE(D29:D33)</f>
        <v/>
      </c>
    </row>
    <row r="37">
      <c r="A37" s="6" t="inlineStr">
        <is>
          <t>n (kriter sayısı)</t>
        </is>
      </c>
      <c r="B37" s="9" t="n">
        <v>5</v>
      </c>
    </row>
    <row r="38">
      <c r="A38" s="6" t="inlineStr">
        <is>
          <t>CI = (λ_max - n) / (n - 1)</t>
        </is>
      </c>
      <c r="B38" s="11">
        <f>(B36-B37)/(B37-1)</f>
        <v/>
      </c>
    </row>
    <row r="39">
      <c r="A39" s="6" t="inlineStr">
        <is>
          <t>RI (n=5)</t>
        </is>
      </c>
      <c r="B39" s="11" t="n">
        <v>1.11</v>
      </c>
    </row>
    <row r="40">
      <c r="A40" s="6" t="inlineStr">
        <is>
          <t>CR = CI / RI</t>
        </is>
      </c>
      <c r="B40" s="11">
        <f>B38/B39</f>
        <v/>
      </c>
    </row>
    <row r="41">
      <c r="A41" s="6" t="inlineStr">
        <is>
          <t>Tutarlılık Eşiği</t>
        </is>
      </c>
      <c r="B41" s="9" t="n">
        <v>0.1</v>
      </c>
    </row>
    <row r="42">
      <c r="A42" s="6" t="inlineStr">
        <is>
          <t>Durum</t>
        </is>
      </c>
      <c r="B42" s="12">
        <f>IF(B40&lt;=B41,"Tutarlı","Tutarsız")</f>
        <v/>
      </c>
    </row>
  </sheetData>
  <mergeCells count="4">
    <mergeCell ref="A20:F20"/>
    <mergeCell ref="A11:F11"/>
    <mergeCell ref="A3:B3"/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KATILIMCI 18 - AHP ANALİZİ</t>
        </is>
      </c>
    </row>
    <row r="3">
      <c r="A3" s="6" t="inlineStr">
        <is>
          <t>Demografik Bilgiler</t>
        </is>
      </c>
      <c r="B3" s="7" t="n"/>
    </row>
    <row r="4">
      <c r="A4" s="8" t="inlineStr">
        <is>
          <t>Cinsiyet</t>
        </is>
      </c>
      <c r="B4" s="9">
        <f>Anket_Yanitlari!B19</f>
        <v/>
      </c>
    </row>
    <row r="5">
      <c r="A5" s="8" t="inlineStr">
        <is>
          <t>Yaş</t>
        </is>
      </c>
      <c r="B5" s="9">
        <f>Anket_Yanitlari!C19</f>
        <v/>
      </c>
    </row>
    <row r="6">
      <c r="A6" s="8" t="inlineStr">
        <is>
          <t>Eğitim</t>
        </is>
      </c>
      <c r="B6" s="9">
        <f>Anket_Yanitlari!D19</f>
        <v/>
      </c>
    </row>
    <row r="7">
      <c r="A7" s="8" t="inlineStr">
        <is>
          <t>Meslek</t>
        </is>
      </c>
      <c r="B7" s="9">
        <f>Anket_Yanitlari!E19</f>
        <v/>
      </c>
    </row>
    <row r="8">
      <c r="A8" s="8" t="inlineStr">
        <is>
          <t>Alışveriş Sıklığı</t>
        </is>
      </c>
      <c r="B8" s="9">
        <f>Anket_Yanitlari!F19</f>
        <v/>
      </c>
    </row>
    <row r="9">
      <c r="A9" s="8" t="inlineStr">
        <is>
          <t>Cihaz</t>
        </is>
      </c>
      <c r="B9" s="9">
        <f>Anket_Yanitlari!G19</f>
        <v/>
      </c>
    </row>
    <row r="11">
      <c r="A11" s="6" t="inlineStr">
        <is>
          <t>İkili Karşılaştırma Matrisi (A)</t>
        </is>
      </c>
      <c r="B11" s="10" t="n"/>
      <c r="C11" s="10" t="n"/>
      <c r="D11" s="10" t="n"/>
      <c r="E11" s="10" t="n"/>
      <c r="F11" s="7" t="n"/>
    </row>
    <row r="12">
      <c r="B12" s="6" t="inlineStr">
        <is>
          <t>Ödeme</t>
        </is>
      </c>
      <c r="C12" s="6" t="inlineStr">
        <is>
          <t>Kullanıcı Deneyimi</t>
        </is>
      </c>
      <c r="D12" s="6" t="inlineStr">
        <is>
          <t>Kargo</t>
        </is>
      </c>
      <c r="E12" s="6" t="inlineStr">
        <is>
          <t>Müşteri Yorumları</t>
        </is>
      </c>
      <c r="F12" s="6" t="inlineStr">
        <is>
          <t>Fiyatlandırma</t>
        </is>
      </c>
    </row>
    <row r="13">
      <c r="A13" s="6" t="inlineStr">
        <is>
          <t>Ödeme</t>
        </is>
      </c>
      <c r="B13" s="11" t="n">
        <v>1</v>
      </c>
      <c r="C13" s="11">
        <f>Anket_Yanitlari!H19</f>
        <v/>
      </c>
      <c r="D13" s="11">
        <f>Anket_Yanitlari!I19</f>
        <v/>
      </c>
      <c r="E13" s="11">
        <f>Anket_Yanitlari!J19</f>
        <v/>
      </c>
      <c r="F13" s="11">
        <f>Anket_Yanitlari!K19</f>
        <v/>
      </c>
    </row>
    <row r="14">
      <c r="A14" s="6" t="inlineStr">
        <is>
          <t>Kullanıcı Deneyimi</t>
        </is>
      </c>
      <c r="B14" s="11">
        <f>1/C13</f>
        <v/>
      </c>
      <c r="C14" s="11" t="n">
        <v>1</v>
      </c>
      <c r="D14" s="11">
        <f>Anket_Yanitlari!L19</f>
        <v/>
      </c>
      <c r="E14" s="11">
        <f>Anket_Yanitlari!M19</f>
        <v/>
      </c>
      <c r="F14" s="11">
        <f>Anket_Yanitlari!N19</f>
        <v/>
      </c>
    </row>
    <row r="15">
      <c r="A15" s="6" t="inlineStr">
        <is>
          <t>Kargo</t>
        </is>
      </c>
      <c r="B15" s="11">
        <f>1/D13</f>
        <v/>
      </c>
      <c r="C15" s="11">
        <f>1/D14</f>
        <v/>
      </c>
      <c r="D15" s="11" t="n">
        <v>1</v>
      </c>
      <c r="E15" s="11">
        <f>Anket_Yanitlari!O19</f>
        <v/>
      </c>
      <c r="F15" s="11">
        <f>Anket_Yanitlari!P19</f>
        <v/>
      </c>
    </row>
    <row r="16">
      <c r="A16" s="6" t="inlineStr">
        <is>
          <t>Müşteri Yorumları</t>
        </is>
      </c>
      <c r="B16" s="11">
        <f>1/E13</f>
        <v/>
      </c>
      <c r="C16" s="11">
        <f>1/E14</f>
        <v/>
      </c>
      <c r="D16" s="11">
        <f>1/E15</f>
        <v/>
      </c>
      <c r="E16" s="11" t="n">
        <v>1</v>
      </c>
      <c r="F16" s="11">
        <f>Anket_Yanitlari!Q19</f>
        <v/>
      </c>
    </row>
    <row r="17">
      <c r="A17" s="6" t="inlineStr">
        <is>
          <t>Fiyatlandırma</t>
        </is>
      </c>
      <c r="B17" s="11">
        <f>1/F13</f>
        <v/>
      </c>
      <c r="C17" s="11">
        <f>1/F14</f>
        <v/>
      </c>
      <c r="D17" s="11">
        <f>1/F15</f>
        <v/>
      </c>
      <c r="E17" s="11">
        <f>1/F16</f>
        <v/>
      </c>
      <c r="F17" s="11" t="n">
        <v>1</v>
      </c>
    </row>
    <row r="18">
      <c r="A18" s="6" t="inlineStr">
        <is>
          <t>Sütun Toplamı</t>
        </is>
      </c>
      <c r="B18" s="11">
        <f>SUM(B13:B17)</f>
        <v/>
      </c>
      <c r="C18" s="11">
        <f>SUM(C13:C17)</f>
        <v/>
      </c>
      <c r="D18" s="11">
        <f>SUM(D13:D17)</f>
        <v/>
      </c>
      <c r="E18" s="11">
        <f>SUM(E13:E17)</f>
        <v/>
      </c>
      <c r="F18" s="11">
        <f>SUM(F13:F17)</f>
        <v/>
      </c>
    </row>
    <row r="20">
      <c r="A20" s="6" t="inlineStr">
        <is>
          <t>Normalize Matris (N)</t>
        </is>
      </c>
      <c r="B20" s="10" t="n"/>
      <c r="C20" s="10" t="n"/>
      <c r="D20" s="10" t="n"/>
      <c r="E20" s="10" t="n"/>
      <c r="F20" s="7" t="n"/>
    </row>
    <row r="21">
      <c r="B21" s="6" t="inlineStr">
        <is>
          <t>Ödeme</t>
        </is>
      </c>
      <c r="C21" s="6" t="inlineStr">
        <is>
          <t>Kullanıcı Deneyimi</t>
        </is>
      </c>
      <c r="D21" s="6" t="inlineStr">
        <is>
          <t>Kargo</t>
        </is>
      </c>
      <c r="E21" s="6" t="inlineStr">
        <is>
          <t>Müşteri Yorumları</t>
        </is>
      </c>
      <c r="F21" s="6" t="inlineStr">
        <is>
          <t>Fiyatlandırma</t>
        </is>
      </c>
    </row>
    <row r="22">
      <c r="A22" s="6" t="inlineStr">
        <is>
          <t>Ödeme</t>
        </is>
      </c>
      <c r="B22" s="11">
        <f>B13/B18</f>
        <v/>
      </c>
      <c r="C22" s="11">
        <f>C13/C18</f>
        <v/>
      </c>
      <c r="D22" s="11">
        <f>D13/D18</f>
        <v/>
      </c>
      <c r="E22" s="11">
        <f>E13/E18</f>
        <v/>
      </c>
      <c r="F22" s="11">
        <f>F13/F18</f>
        <v/>
      </c>
    </row>
    <row r="23">
      <c r="A23" s="6" t="inlineStr">
        <is>
          <t>Kullanıcı Deneyimi</t>
        </is>
      </c>
      <c r="B23" s="11">
        <f>B14/B18</f>
        <v/>
      </c>
      <c r="C23" s="11">
        <f>C14/C18</f>
        <v/>
      </c>
      <c r="D23" s="11">
        <f>D14/D18</f>
        <v/>
      </c>
      <c r="E23" s="11">
        <f>E14/E18</f>
        <v/>
      </c>
      <c r="F23" s="11">
        <f>F14/F18</f>
        <v/>
      </c>
    </row>
    <row r="24">
      <c r="A24" s="6" t="inlineStr">
        <is>
          <t>Kargo</t>
        </is>
      </c>
      <c r="B24" s="11">
        <f>B15/B18</f>
        <v/>
      </c>
      <c r="C24" s="11">
        <f>C15/C18</f>
        <v/>
      </c>
      <c r="D24" s="11">
        <f>D15/D18</f>
        <v/>
      </c>
      <c r="E24" s="11">
        <f>E15/E18</f>
        <v/>
      </c>
      <c r="F24" s="11">
        <f>F15/F18</f>
        <v/>
      </c>
    </row>
    <row r="25">
      <c r="A25" s="6" t="inlineStr">
        <is>
          <t>Müşteri Yorumları</t>
        </is>
      </c>
      <c r="B25" s="11">
        <f>B16/B18</f>
        <v/>
      </c>
      <c r="C25" s="11">
        <f>C16/C18</f>
        <v/>
      </c>
      <c r="D25" s="11">
        <f>D16/D18</f>
        <v/>
      </c>
      <c r="E25" s="11">
        <f>E16/E18</f>
        <v/>
      </c>
      <c r="F25" s="11">
        <f>F16/F18</f>
        <v/>
      </c>
    </row>
    <row r="26">
      <c r="A26" s="6" t="inlineStr">
        <is>
          <t>Fiyatlandırma</t>
        </is>
      </c>
      <c r="B26" s="11">
        <f>B17/B18</f>
        <v/>
      </c>
      <c r="C26" s="11">
        <f>C17/C18</f>
        <v/>
      </c>
      <c r="D26" s="11">
        <f>D17/D18</f>
        <v/>
      </c>
      <c r="E26" s="11">
        <f>E17/E18</f>
        <v/>
      </c>
      <c r="F26" s="11">
        <f>F17/F18</f>
        <v/>
      </c>
    </row>
    <row r="28">
      <c r="A28" s="6" t="inlineStr">
        <is>
          <t>Kriter</t>
        </is>
      </c>
      <c r="B28" s="6" t="inlineStr">
        <is>
          <t>ÖZV (w)</t>
        </is>
      </c>
      <c r="C28" s="6" t="inlineStr">
        <is>
          <t>A·w</t>
        </is>
      </c>
      <c r="D28" s="6" t="inlineStr">
        <is>
          <t>A·w / w</t>
        </is>
      </c>
    </row>
    <row r="29">
      <c r="A29" s="6" t="inlineStr">
        <is>
          <t>Ödeme</t>
        </is>
      </c>
      <c r="B29" s="11">
        <f>AVERAGE(B22:F22)</f>
        <v/>
      </c>
      <c r="C29" s="11">
        <f>B13*$B$29+C13*$B$30+D13*$B$31+E13*$B$32+F13*$B$33</f>
        <v/>
      </c>
      <c r="D29" s="11">
        <f>C29/B29</f>
        <v/>
      </c>
    </row>
    <row r="30">
      <c r="A30" s="6" t="inlineStr">
        <is>
          <t>Kullanıcı Deneyimi</t>
        </is>
      </c>
      <c r="B30" s="11">
        <f>AVERAGE(B23:F23)</f>
        <v/>
      </c>
      <c r="C30" s="11">
        <f>B14*$B$29+C14*$B$30+D14*$B$31+E14*$B$32+F14*$B$33</f>
        <v/>
      </c>
      <c r="D30" s="11">
        <f>C30/B30</f>
        <v/>
      </c>
    </row>
    <row r="31">
      <c r="A31" s="6" t="inlineStr">
        <is>
          <t>Kargo</t>
        </is>
      </c>
      <c r="B31" s="11">
        <f>AVERAGE(B24:F24)</f>
        <v/>
      </c>
      <c r="C31" s="11">
        <f>B15*$B$29+C15*$B$30+D15*$B$31+E15*$B$32+F15*$B$33</f>
        <v/>
      </c>
      <c r="D31" s="11">
        <f>C31/B31</f>
        <v/>
      </c>
    </row>
    <row r="32">
      <c r="A32" s="6" t="inlineStr">
        <is>
          <t>Müşteri Yorumları</t>
        </is>
      </c>
      <c r="B32" s="11">
        <f>AVERAGE(B25:F25)</f>
        <v/>
      </c>
      <c r="C32" s="11">
        <f>B16*$B$29+C16*$B$30+D16*$B$31+E16*$B$32+F16*$B$33</f>
        <v/>
      </c>
      <c r="D32" s="11">
        <f>C32/B32</f>
        <v/>
      </c>
    </row>
    <row r="33">
      <c r="A33" s="6" t="inlineStr">
        <is>
          <t>Fiyatlandırma</t>
        </is>
      </c>
      <c r="B33" s="11">
        <f>AVERAGE(B26:F26)</f>
        <v/>
      </c>
      <c r="C33" s="11">
        <f>B17*$B$29+C17*$B$30+D17*$B$31+E17*$B$32+F17*$B$33</f>
        <v/>
      </c>
      <c r="D33" s="11">
        <f>C33/B33</f>
        <v/>
      </c>
    </row>
    <row r="34">
      <c r="A34" s="6" t="inlineStr">
        <is>
          <t>Toplam</t>
        </is>
      </c>
      <c r="B34" s="11">
        <f>SUM(B29:B33)</f>
        <v/>
      </c>
    </row>
    <row r="36">
      <c r="A36" s="6" t="inlineStr">
        <is>
          <t>λ_max (ENBÖZD)</t>
        </is>
      </c>
      <c r="B36" s="11">
        <f>AVERAGE(D29:D33)</f>
        <v/>
      </c>
    </row>
    <row r="37">
      <c r="A37" s="6" t="inlineStr">
        <is>
          <t>n (kriter sayısı)</t>
        </is>
      </c>
      <c r="B37" s="9" t="n">
        <v>5</v>
      </c>
    </row>
    <row r="38">
      <c r="A38" s="6" t="inlineStr">
        <is>
          <t>CI = (λ_max - n) / (n - 1)</t>
        </is>
      </c>
      <c r="B38" s="11">
        <f>(B36-B37)/(B37-1)</f>
        <v/>
      </c>
    </row>
    <row r="39">
      <c r="A39" s="6" t="inlineStr">
        <is>
          <t>RI (n=5)</t>
        </is>
      </c>
      <c r="B39" s="11" t="n">
        <v>1.11</v>
      </c>
    </row>
    <row r="40">
      <c r="A40" s="6" t="inlineStr">
        <is>
          <t>CR = CI / RI</t>
        </is>
      </c>
      <c r="B40" s="11">
        <f>B38/B39</f>
        <v/>
      </c>
    </row>
    <row r="41">
      <c r="A41" s="6" t="inlineStr">
        <is>
          <t>Tutarlılık Eşiği</t>
        </is>
      </c>
      <c r="B41" s="9" t="n">
        <v>0.1</v>
      </c>
    </row>
    <row r="42">
      <c r="A42" s="6" t="inlineStr">
        <is>
          <t>Durum</t>
        </is>
      </c>
      <c r="B42" s="12">
        <f>IF(B40&lt;=B41,"Tutarlı","Tutarsız")</f>
        <v/>
      </c>
    </row>
  </sheetData>
  <mergeCells count="4">
    <mergeCell ref="A20:F20"/>
    <mergeCell ref="A11:F11"/>
    <mergeCell ref="A3:B3"/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KATILIMCI 19 - AHP ANALİZİ</t>
        </is>
      </c>
    </row>
    <row r="3">
      <c r="A3" s="6" t="inlineStr">
        <is>
          <t>Demografik Bilgiler</t>
        </is>
      </c>
      <c r="B3" s="7" t="n"/>
    </row>
    <row r="4">
      <c r="A4" s="8" t="inlineStr">
        <is>
          <t>Cinsiyet</t>
        </is>
      </c>
      <c r="B4" s="9">
        <f>Anket_Yanitlari!B20</f>
        <v/>
      </c>
    </row>
    <row r="5">
      <c r="A5" s="8" t="inlineStr">
        <is>
          <t>Yaş</t>
        </is>
      </c>
      <c r="B5" s="9">
        <f>Anket_Yanitlari!C20</f>
        <v/>
      </c>
    </row>
    <row r="6">
      <c r="A6" s="8" t="inlineStr">
        <is>
          <t>Eğitim</t>
        </is>
      </c>
      <c r="B6" s="9">
        <f>Anket_Yanitlari!D20</f>
        <v/>
      </c>
    </row>
    <row r="7">
      <c r="A7" s="8" t="inlineStr">
        <is>
          <t>Meslek</t>
        </is>
      </c>
      <c r="B7" s="9">
        <f>Anket_Yanitlari!E20</f>
        <v/>
      </c>
    </row>
    <row r="8">
      <c r="A8" s="8" t="inlineStr">
        <is>
          <t>Alışveriş Sıklığı</t>
        </is>
      </c>
      <c r="B8" s="9">
        <f>Anket_Yanitlari!F20</f>
        <v/>
      </c>
    </row>
    <row r="9">
      <c r="A9" s="8" t="inlineStr">
        <is>
          <t>Cihaz</t>
        </is>
      </c>
      <c r="B9" s="9">
        <f>Anket_Yanitlari!G20</f>
        <v/>
      </c>
    </row>
    <row r="11">
      <c r="A11" s="6" t="inlineStr">
        <is>
          <t>İkili Karşılaştırma Matrisi (A)</t>
        </is>
      </c>
      <c r="B11" s="10" t="n"/>
      <c r="C11" s="10" t="n"/>
      <c r="D11" s="10" t="n"/>
      <c r="E11" s="10" t="n"/>
      <c r="F11" s="7" t="n"/>
    </row>
    <row r="12">
      <c r="B12" s="6" t="inlineStr">
        <is>
          <t>Ödeme</t>
        </is>
      </c>
      <c r="C12" s="6" t="inlineStr">
        <is>
          <t>Kullanıcı Deneyimi</t>
        </is>
      </c>
      <c r="D12" s="6" t="inlineStr">
        <is>
          <t>Kargo</t>
        </is>
      </c>
      <c r="E12" s="6" t="inlineStr">
        <is>
          <t>Müşteri Yorumları</t>
        </is>
      </c>
      <c r="F12" s="6" t="inlineStr">
        <is>
          <t>Fiyatlandırma</t>
        </is>
      </c>
    </row>
    <row r="13">
      <c r="A13" s="6" t="inlineStr">
        <is>
          <t>Ödeme</t>
        </is>
      </c>
      <c r="B13" s="11" t="n">
        <v>1</v>
      </c>
      <c r="C13" s="11">
        <f>Anket_Yanitlari!H20</f>
        <v/>
      </c>
      <c r="D13" s="11">
        <f>Anket_Yanitlari!I20</f>
        <v/>
      </c>
      <c r="E13" s="11">
        <f>Anket_Yanitlari!J20</f>
        <v/>
      </c>
      <c r="F13" s="11">
        <f>Anket_Yanitlari!K20</f>
        <v/>
      </c>
    </row>
    <row r="14">
      <c r="A14" s="6" t="inlineStr">
        <is>
          <t>Kullanıcı Deneyimi</t>
        </is>
      </c>
      <c r="B14" s="11">
        <f>1/C13</f>
        <v/>
      </c>
      <c r="C14" s="11" t="n">
        <v>1</v>
      </c>
      <c r="D14" s="11">
        <f>Anket_Yanitlari!L20</f>
        <v/>
      </c>
      <c r="E14" s="11">
        <f>Anket_Yanitlari!M20</f>
        <v/>
      </c>
      <c r="F14" s="11">
        <f>Anket_Yanitlari!N20</f>
        <v/>
      </c>
    </row>
    <row r="15">
      <c r="A15" s="6" t="inlineStr">
        <is>
          <t>Kargo</t>
        </is>
      </c>
      <c r="B15" s="11">
        <f>1/D13</f>
        <v/>
      </c>
      <c r="C15" s="11">
        <f>1/D14</f>
        <v/>
      </c>
      <c r="D15" s="11" t="n">
        <v>1</v>
      </c>
      <c r="E15" s="11">
        <f>Anket_Yanitlari!O20</f>
        <v/>
      </c>
      <c r="F15" s="11">
        <f>Anket_Yanitlari!P20</f>
        <v/>
      </c>
    </row>
    <row r="16">
      <c r="A16" s="6" t="inlineStr">
        <is>
          <t>Müşteri Yorumları</t>
        </is>
      </c>
      <c r="B16" s="11">
        <f>1/E13</f>
        <v/>
      </c>
      <c r="C16" s="11">
        <f>1/E14</f>
        <v/>
      </c>
      <c r="D16" s="11">
        <f>1/E15</f>
        <v/>
      </c>
      <c r="E16" s="11" t="n">
        <v>1</v>
      </c>
      <c r="F16" s="11">
        <f>Anket_Yanitlari!Q20</f>
        <v/>
      </c>
    </row>
    <row r="17">
      <c r="A17" s="6" t="inlineStr">
        <is>
          <t>Fiyatlandırma</t>
        </is>
      </c>
      <c r="B17" s="11">
        <f>1/F13</f>
        <v/>
      </c>
      <c r="C17" s="11">
        <f>1/F14</f>
        <v/>
      </c>
      <c r="D17" s="11">
        <f>1/F15</f>
        <v/>
      </c>
      <c r="E17" s="11">
        <f>1/F16</f>
        <v/>
      </c>
      <c r="F17" s="11" t="n">
        <v>1</v>
      </c>
    </row>
    <row r="18">
      <c r="A18" s="6" t="inlineStr">
        <is>
          <t>Sütun Toplamı</t>
        </is>
      </c>
      <c r="B18" s="11">
        <f>SUM(B13:B17)</f>
        <v/>
      </c>
      <c r="C18" s="11">
        <f>SUM(C13:C17)</f>
        <v/>
      </c>
      <c r="D18" s="11">
        <f>SUM(D13:D17)</f>
        <v/>
      </c>
      <c r="E18" s="11">
        <f>SUM(E13:E17)</f>
        <v/>
      </c>
      <c r="F18" s="11">
        <f>SUM(F13:F17)</f>
        <v/>
      </c>
    </row>
    <row r="20">
      <c r="A20" s="6" t="inlineStr">
        <is>
          <t>Normalize Matris (N)</t>
        </is>
      </c>
      <c r="B20" s="10" t="n"/>
      <c r="C20" s="10" t="n"/>
      <c r="D20" s="10" t="n"/>
      <c r="E20" s="10" t="n"/>
      <c r="F20" s="7" t="n"/>
    </row>
    <row r="21">
      <c r="B21" s="6" t="inlineStr">
        <is>
          <t>Ödeme</t>
        </is>
      </c>
      <c r="C21" s="6" t="inlineStr">
        <is>
          <t>Kullanıcı Deneyimi</t>
        </is>
      </c>
      <c r="D21" s="6" t="inlineStr">
        <is>
          <t>Kargo</t>
        </is>
      </c>
      <c r="E21" s="6" t="inlineStr">
        <is>
          <t>Müşteri Yorumları</t>
        </is>
      </c>
      <c r="F21" s="6" t="inlineStr">
        <is>
          <t>Fiyatlandırma</t>
        </is>
      </c>
    </row>
    <row r="22">
      <c r="A22" s="6" t="inlineStr">
        <is>
          <t>Ödeme</t>
        </is>
      </c>
      <c r="B22" s="11">
        <f>B13/B18</f>
        <v/>
      </c>
      <c r="C22" s="11">
        <f>C13/C18</f>
        <v/>
      </c>
      <c r="D22" s="11">
        <f>D13/D18</f>
        <v/>
      </c>
      <c r="E22" s="11">
        <f>E13/E18</f>
        <v/>
      </c>
      <c r="F22" s="11">
        <f>F13/F18</f>
        <v/>
      </c>
    </row>
    <row r="23">
      <c r="A23" s="6" t="inlineStr">
        <is>
          <t>Kullanıcı Deneyimi</t>
        </is>
      </c>
      <c r="B23" s="11">
        <f>B14/B18</f>
        <v/>
      </c>
      <c r="C23" s="11">
        <f>C14/C18</f>
        <v/>
      </c>
      <c r="D23" s="11">
        <f>D14/D18</f>
        <v/>
      </c>
      <c r="E23" s="11">
        <f>E14/E18</f>
        <v/>
      </c>
      <c r="F23" s="11">
        <f>F14/F18</f>
        <v/>
      </c>
    </row>
    <row r="24">
      <c r="A24" s="6" t="inlineStr">
        <is>
          <t>Kargo</t>
        </is>
      </c>
      <c r="B24" s="11">
        <f>B15/B18</f>
        <v/>
      </c>
      <c r="C24" s="11">
        <f>C15/C18</f>
        <v/>
      </c>
      <c r="D24" s="11">
        <f>D15/D18</f>
        <v/>
      </c>
      <c r="E24" s="11">
        <f>E15/E18</f>
        <v/>
      </c>
      <c r="F24" s="11">
        <f>F15/F18</f>
        <v/>
      </c>
    </row>
    <row r="25">
      <c r="A25" s="6" t="inlineStr">
        <is>
          <t>Müşteri Yorumları</t>
        </is>
      </c>
      <c r="B25" s="11">
        <f>B16/B18</f>
        <v/>
      </c>
      <c r="C25" s="11">
        <f>C16/C18</f>
        <v/>
      </c>
      <c r="D25" s="11">
        <f>D16/D18</f>
        <v/>
      </c>
      <c r="E25" s="11">
        <f>E16/E18</f>
        <v/>
      </c>
      <c r="F25" s="11">
        <f>F16/F18</f>
        <v/>
      </c>
    </row>
    <row r="26">
      <c r="A26" s="6" t="inlineStr">
        <is>
          <t>Fiyatlandırma</t>
        </is>
      </c>
      <c r="B26" s="11">
        <f>B17/B18</f>
        <v/>
      </c>
      <c r="C26" s="11">
        <f>C17/C18</f>
        <v/>
      </c>
      <c r="D26" s="11">
        <f>D17/D18</f>
        <v/>
      </c>
      <c r="E26" s="11">
        <f>E17/E18</f>
        <v/>
      </c>
      <c r="F26" s="11">
        <f>F17/F18</f>
        <v/>
      </c>
    </row>
    <row r="28">
      <c r="A28" s="6" t="inlineStr">
        <is>
          <t>Kriter</t>
        </is>
      </c>
      <c r="B28" s="6" t="inlineStr">
        <is>
          <t>ÖZV (w)</t>
        </is>
      </c>
      <c r="C28" s="6" t="inlineStr">
        <is>
          <t>A·w</t>
        </is>
      </c>
      <c r="D28" s="6" t="inlineStr">
        <is>
          <t>A·w / w</t>
        </is>
      </c>
    </row>
    <row r="29">
      <c r="A29" s="6" t="inlineStr">
        <is>
          <t>Ödeme</t>
        </is>
      </c>
      <c r="B29" s="11">
        <f>AVERAGE(B22:F22)</f>
        <v/>
      </c>
      <c r="C29" s="11">
        <f>B13*$B$29+C13*$B$30+D13*$B$31+E13*$B$32+F13*$B$33</f>
        <v/>
      </c>
      <c r="D29" s="11">
        <f>C29/B29</f>
        <v/>
      </c>
    </row>
    <row r="30">
      <c r="A30" s="6" t="inlineStr">
        <is>
          <t>Kullanıcı Deneyimi</t>
        </is>
      </c>
      <c r="B30" s="11">
        <f>AVERAGE(B23:F23)</f>
        <v/>
      </c>
      <c r="C30" s="11">
        <f>B14*$B$29+C14*$B$30+D14*$B$31+E14*$B$32+F14*$B$33</f>
        <v/>
      </c>
      <c r="D30" s="11">
        <f>C30/B30</f>
        <v/>
      </c>
    </row>
    <row r="31">
      <c r="A31" s="6" t="inlineStr">
        <is>
          <t>Kargo</t>
        </is>
      </c>
      <c r="B31" s="11">
        <f>AVERAGE(B24:F24)</f>
        <v/>
      </c>
      <c r="C31" s="11">
        <f>B15*$B$29+C15*$B$30+D15*$B$31+E15*$B$32+F15*$B$33</f>
        <v/>
      </c>
      <c r="D31" s="11">
        <f>C31/B31</f>
        <v/>
      </c>
    </row>
    <row r="32">
      <c r="A32" s="6" t="inlineStr">
        <is>
          <t>Müşteri Yorumları</t>
        </is>
      </c>
      <c r="B32" s="11">
        <f>AVERAGE(B25:F25)</f>
        <v/>
      </c>
      <c r="C32" s="11">
        <f>B16*$B$29+C16*$B$30+D16*$B$31+E16*$B$32+F16*$B$33</f>
        <v/>
      </c>
      <c r="D32" s="11">
        <f>C32/B32</f>
        <v/>
      </c>
    </row>
    <row r="33">
      <c r="A33" s="6" t="inlineStr">
        <is>
          <t>Fiyatlandırma</t>
        </is>
      </c>
      <c r="B33" s="11">
        <f>AVERAGE(B26:F26)</f>
        <v/>
      </c>
      <c r="C33" s="11">
        <f>B17*$B$29+C17*$B$30+D17*$B$31+E17*$B$32+F17*$B$33</f>
        <v/>
      </c>
      <c r="D33" s="11">
        <f>C33/B33</f>
        <v/>
      </c>
    </row>
    <row r="34">
      <c r="A34" s="6" t="inlineStr">
        <is>
          <t>Toplam</t>
        </is>
      </c>
      <c r="B34" s="11">
        <f>SUM(B29:B33)</f>
        <v/>
      </c>
    </row>
    <row r="36">
      <c r="A36" s="6" t="inlineStr">
        <is>
          <t>λ_max (ENBÖZD)</t>
        </is>
      </c>
      <c r="B36" s="11">
        <f>AVERAGE(D29:D33)</f>
        <v/>
      </c>
    </row>
    <row r="37">
      <c r="A37" s="6" t="inlineStr">
        <is>
          <t>n (kriter sayısı)</t>
        </is>
      </c>
      <c r="B37" s="9" t="n">
        <v>5</v>
      </c>
    </row>
    <row r="38">
      <c r="A38" s="6" t="inlineStr">
        <is>
          <t>CI = (λ_max - n) / (n - 1)</t>
        </is>
      </c>
      <c r="B38" s="11">
        <f>(B36-B37)/(B37-1)</f>
        <v/>
      </c>
    </row>
    <row r="39">
      <c r="A39" s="6" t="inlineStr">
        <is>
          <t>RI (n=5)</t>
        </is>
      </c>
      <c r="B39" s="11" t="n">
        <v>1.11</v>
      </c>
    </row>
    <row r="40">
      <c r="A40" s="6" t="inlineStr">
        <is>
          <t>CR = CI / RI</t>
        </is>
      </c>
      <c r="B40" s="11">
        <f>B38/B39</f>
        <v/>
      </c>
    </row>
    <row r="41">
      <c r="A41" s="6" t="inlineStr">
        <is>
          <t>Tutarlılık Eşiği</t>
        </is>
      </c>
      <c r="B41" s="9" t="n">
        <v>0.1</v>
      </c>
    </row>
    <row r="42">
      <c r="A42" s="6" t="inlineStr">
        <is>
          <t>Durum</t>
        </is>
      </c>
      <c r="B42" s="12">
        <f>IF(B40&lt;=B41,"Tutarlı","Tutarsız")</f>
        <v/>
      </c>
    </row>
  </sheetData>
  <mergeCells count="4">
    <mergeCell ref="A20:F20"/>
    <mergeCell ref="A11:F11"/>
    <mergeCell ref="A3:B3"/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KATILIMCI 20 - AHP ANALİZİ</t>
        </is>
      </c>
    </row>
    <row r="3">
      <c r="A3" s="6" t="inlineStr">
        <is>
          <t>Demografik Bilgiler</t>
        </is>
      </c>
      <c r="B3" s="7" t="n"/>
    </row>
    <row r="4">
      <c r="A4" s="8" t="inlineStr">
        <is>
          <t>Cinsiyet</t>
        </is>
      </c>
      <c r="B4" s="9">
        <f>Anket_Yanitlari!B21</f>
        <v/>
      </c>
    </row>
    <row r="5">
      <c r="A5" s="8" t="inlineStr">
        <is>
          <t>Yaş</t>
        </is>
      </c>
      <c r="B5" s="9">
        <f>Anket_Yanitlari!C21</f>
        <v/>
      </c>
    </row>
    <row r="6">
      <c r="A6" s="8" t="inlineStr">
        <is>
          <t>Eğitim</t>
        </is>
      </c>
      <c r="B6" s="9">
        <f>Anket_Yanitlari!D21</f>
        <v/>
      </c>
    </row>
    <row r="7">
      <c r="A7" s="8" t="inlineStr">
        <is>
          <t>Meslek</t>
        </is>
      </c>
      <c r="B7" s="9">
        <f>Anket_Yanitlari!E21</f>
        <v/>
      </c>
    </row>
    <row r="8">
      <c r="A8" s="8" t="inlineStr">
        <is>
          <t>Alışveriş Sıklığı</t>
        </is>
      </c>
      <c r="B8" s="9">
        <f>Anket_Yanitlari!F21</f>
        <v/>
      </c>
    </row>
    <row r="9">
      <c r="A9" s="8" t="inlineStr">
        <is>
          <t>Cihaz</t>
        </is>
      </c>
      <c r="B9" s="9">
        <f>Anket_Yanitlari!G21</f>
        <v/>
      </c>
    </row>
    <row r="11">
      <c r="A11" s="6" t="inlineStr">
        <is>
          <t>İkili Karşılaştırma Matrisi (A)</t>
        </is>
      </c>
      <c r="B11" s="10" t="n"/>
      <c r="C11" s="10" t="n"/>
      <c r="D11" s="10" t="n"/>
      <c r="E11" s="10" t="n"/>
      <c r="F11" s="7" t="n"/>
    </row>
    <row r="12">
      <c r="B12" s="6" t="inlineStr">
        <is>
          <t>Ödeme</t>
        </is>
      </c>
      <c r="C12" s="6" t="inlineStr">
        <is>
          <t>Kullanıcı Deneyimi</t>
        </is>
      </c>
      <c r="D12" s="6" t="inlineStr">
        <is>
          <t>Kargo</t>
        </is>
      </c>
      <c r="E12" s="6" t="inlineStr">
        <is>
          <t>Müşteri Yorumları</t>
        </is>
      </c>
      <c r="F12" s="6" t="inlineStr">
        <is>
          <t>Fiyatlandırma</t>
        </is>
      </c>
    </row>
    <row r="13">
      <c r="A13" s="6" t="inlineStr">
        <is>
          <t>Ödeme</t>
        </is>
      </c>
      <c r="B13" s="11" t="n">
        <v>1</v>
      </c>
      <c r="C13" s="11">
        <f>Anket_Yanitlari!H21</f>
        <v/>
      </c>
      <c r="D13" s="11">
        <f>Anket_Yanitlari!I21</f>
        <v/>
      </c>
      <c r="E13" s="11">
        <f>Anket_Yanitlari!J21</f>
        <v/>
      </c>
      <c r="F13" s="11">
        <f>Anket_Yanitlari!K21</f>
        <v/>
      </c>
    </row>
    <row r="14">
      <c r="A14" s="6" t="inlineStr">
        <is>
          <t>Kullanıcı Deneyimi</t>
        </is>
      </c>
      <c r="B14" s="11">
        <f>1/C13</f>
        <v/>
      </c>
      <c r="C14" s="11" t="n">
        <v>1</v>
      </c>
      <c r="D14" s="11">
        <f>Anket_Yanitlari!L21</f>
        <v/>
      </c>
      <c r="E14" s="11">
        <f>Anket_Yanitlari!M21</f>
        <v/>
      </c>
      <c r="F14" s="11">
        <f>Anket_Yanitlari!N21</f>
        <v/>
      </c>
    </row>
    <row r="15">
      <c r="A15" s="6" t="inlineStr">
        <is>
          <t>Kargo</t>
        </is>
      </c>
      <c r="B15" s="11">
        <f>1/D13</f>
        <v/>
      </c>
      <c r="C15" s="11">
        <f>1/D14</f>
        <v/>
      </c>
      <c r="D15" s="11" t="n">
        <v>1</v>
      </c>
      <c r="E15" s="11">
        <f>Anket_Yanitlari!O21</f>
        <v/>
      </c>
      <c r="F15" s="11">
        <f>Anket_Yanitlari!P21</f>
        <v/>
      </c>
    </row>
    <row r="16">
      <c r="A16" s="6" t="inlineStr">
        <is>
          <t>Müşteri Yorumları</t>
        </is>
      </c>
      <c r="B16" s="11">
        <f>1/E13</f>
        <v/>
      </c>
      <c r="C16" s="11">
        <f>1/E14</f>
        <v/>
      </c>
      <c r="D16" s="11">
        <f>1/E15</f>
        <v/>
      </c>
      <c r="E16" s="11" t="n">
        <v>1</v>
      </c>
      <c r="F16" s="11">
        <f>Anket_Yanitlari!Q21</f>
        <v/>
      </c>
    </row>
    <row r="17">
      <c r="A17" s="6" t="inlineStr">
        <is>
          <t>Fiyatlandırma</t>
        </is>
      </c>
      <c r="B17" s="11">
        <f>1/F13</f>
        <v/>
      </c>
      <c r="C17" s="11">
        <f>1/F14</f>
        <v/>
      </c>
      <c r="D17" s="11">
        <f>1/F15</f>
        <v/>
      </c>
      <c r="E17" s="11">
        <f>1/F16</f>
        <v/>
      </c>
      <c r="F17" s="11" t="n">
        <v>1</v>
      </c>
    </row>
    <row r="18">
      <c r="A18" s="6" t="inlineStr">
        <is>
          <t>Sütun Toplamı</t>
        </is>
      </c>
      <c r="B18" s="11">
        <f>SUM(B13:B17)</f>
        <v/>
      </c>
      <c r="C18" s="11">
        <f>SUM(C13:C17)</f>
        <v/>
      </c>
      <c r="D18" s="11">
        <f>SUM(D13:D17)</f>
        <v/>
      </c>
      <c r="E18" s="11">
        <f>SUM(E13:E17)</f>
        <v/>
      </c>
      <c r="F18" s="11">
        <f>SUM(F13:F17)</f>
        <v/>
      </c>
    </row>
    <row r="20">
      <c r="A20" s="6" t="inlineStr">
        <is>
          <t>Normalize Matris (N)</t>
        </is>
      </c>
      <c r="B20" s="10" t="n"/>
      <c r="C20" s="10" t="n"/>
      <c r="D20" s="10" t="n"/>
      <c r="E20" s="10" t="n"/>
      <c r="F20" s="7" t="n"/>
    </row>
    <row r="21">
      <c r="B21" s="6" t="inlineStr">
        <is>
          <t>Ödeme</t>
        </is>
      </c>
      <c r="C21" s="6" t="inlineStr">
        <is>
          <t>Kullanıcı Deneyimi</t>
        </is>
      </c>
      <c r="D21" s="6" t="inlineStr">
        <is>
          <t>Kargo</t>
        </is>
      </c>
      <c r="E21" s="6" t="inlineStr">
        <is>
          <t>Müşteri Yorumları</t>
        </is>
      </c>
      <c r="F21" s="6" t="inlineStr">
        <is>
          <t>Fiyatlandırma</t>
        </is>
      </c>
    </row>
    <row r="22">
      <c r="A22" s="6" t="inlineStr">
        <is>
          <t>Ödeme</t>
        </is>
      </c>
      <c r="B22" s="11">
        <f>B13/B18</f>
        <v/>
      </c>
      <c r="C22" s="11">
        <f>C13/C18</f>
        <v/>
      </c>
      <c r="D22" s="11">
        <f>D13/D18</f>
        <v/>
      </c>
      <c r="E22" s="11">
        <f>E13/E18</f>
        <v/>
      </c>
      <c r="F22" s="11">
        <f>F13/F18</f>
        <v/>
      </c>
    </row>
    <row r="23">
      <c r="A23" s="6" t="inlineStr">
        <is>
          <t>Kullanıcı Deneyimi</t>
        </is>
      </c>
      <c r="B23" s="11">
        <f>B14/B18</f>
        <v/>
      </c>
      <c r="C23" s="11">
        <f>C14/C18</f>
        <v/>
      </c>
      <c r="D23" s="11">
        <f>D14/D18</f>
        <v/>
      </c>
      <c r="E23" s="11">
        <f>E14/E18</f>
        <v/>
      </c>
      <c r="F23" s="11">
        <f>F14/F18</f>
        <v/>
      </c>
    </row>
    <row r="24">
      <c r="A24" s="6" t="inlineStr">
        <is>
          <t>Kargo</t>
        </is>
      </c>
      <c r="B24" s="11">
        <f>B15/B18</f>
        <v/>
      </c>
      <c r="C24" s="11">
        <f>C15/C18</f>
        <v/>
      </c>
      <c r="D24" s="11">
        <f>D15/D18</f>
        <v/>
      </c>
      <c r="E24" s="11">
        <f>E15/E18</f>
        <v/>
      </c>
      <c r="F24" s="11">
        <f>F15/F18</f>
        <v/>
      </c>
    </row>
    <row r="25">
      <c r="A25" s="6" t="inlineStr">
        <is>
          <t>Müşteri Yorumları</t>
        </is>
      </c>
      <c r="B25" s="11">
        <f>B16/B18</f>
        <v/>
      </c>
      <c r="C25" s="11">
        <f>C16/C18</f>
        <v/>
      </c>
      <c r="D25" s="11">
        <f>D16/D18</f>
        <v/>
      </c>
      <c r="E25" s="11">
        <f>E16/E18</f>
        <v/>
      </c>
      <c r="F25" s="11">
        <f>F16/F18</f>
        <v/>
      </c>
    </row>
    <row r="26">
      <c r="A26" s="6" t="inlineStr">
        <is>
          <t>Fiyatlandırma</t>
        </is>
      </c>
      <c r="B26" s="11">
        <f>B17/B18</f>
        <v/>
      </c>
      <c r="C26" s="11">
        <f>C17/C18</f>
        <v/>
      </c>
      <c r="D26" s="11">
        <f>D17/D18</f>
        <v/>
      </c>
      <c r="E26" s="11">
        <f>E17/E18</f>
        <v/>
      </c>
      <c r="F26" s="11">
        <f>F17/F18</f>
        <v/>
      </c>
    </row>
    <row r="28">
      <c r="A28" s="6" t="inlineStr">
        <is>
          <t>Kriter</t>
        </is>
      </c>
      <c r="B28" s="6" t="inlineStr">
        <is>
          <t>ÖZV (w)</t>
        </is>
      </c>
      <c r="C28" s="6" t="inlineStr">
        <is>
          <t>A·w</t>
        </is>
      </c>
      <c r="D28" s="6" t="inlineStr">
        <is>
          <t>A·w / w</t>
        </is>
      </c>
    </row>
    <row r="29">
      <c r="A29" s="6" t="inlineStr">
        <is>
          <t>Ödeme</t>
        </is>
      </c>
      <c r="B29" s="11">
        <f>AVERAGE(B22:F22)</f>
        <v/>
      </c>
      <c r="C29" s="11">
        <f>B13*$B$29+C13*$B$30+D13*$B$31+E13*$B$32+F13*$B$33</f>
        <v/>
      </c>
      <c r="D29" s="11">
        <f>C29/B29</f>
        <v/>
      </c>
    </row>
    <row r="30">
      <c r="A30" s="6" t="inlineStr">
        <is>
          <t>Kullanıcı Deneyimi</t>
        </is>
      </c>
      <c r="B30" s="11">
        <f>AVERAGE(B23:F23)</f>
        <v/>
      </c>
      <c r="C30" s="11">
        <f>B14*$B$29+C14*$B$30+D14*$B$31+E14*$B$32+F14*$B$33</f>
        <v/>
      </c>
      <c r="D30" s="11">
        <f>C30/B30</f>
        <v/>
      </c>
    </row>
    <row r="31">
      <c r="A31" s="6" t="inlineStr">
        <is>
          <t>Kargo</t>
        </is>
      </c>
      <c r="B31" s="11">
        <f>AVERAGE(B24:F24)</f>
        <v/>
      </c>
      <c r="C31" s="11">
        <f>B15*$B$29+C15*$B$30+D15*$B$31+E15*$B$32+F15*$B$33</f>
        <v/>
      </c>
      <c r="D31" s="11">
        <f>C31/B31</f>
        <v/>
      </c>
    </row>
    <row r="32">
      <c r="A32" s="6" t="inlineStr">
        <is>
          <t>Müşteri Yorumları</t>
        </is>
      </c>
      <c r="B32" s="11">
        <f>AVERAGE(B25:F25)</f>
        <v/>
      </c>
      <c r="C32" s="11">
        <f>B16*$B$29+C16*$B$30+D16*$B$31+E16*$B$32+F16*$B$33</f>
        <v/>
      </c>
      <c r="D32" s="11">
        <f>C32/B32</f>
        <v/>
      </c>
    </row>
    <row r="33">
      <c r="A33" s="6" t="inlineStr">
        <is>
          <t>Fiyatlandırma</t>
        </is>
      </c>
      <c r="B33" s="11">
        <f>AVERAGE(B26:F26)</f>
        <v/>
      </c>
      <c r="C33" s="11">
        <f>B17*$B$29+C17*$B$30+D17*$B$31+E17*$B$32+F17*$B$33</f>
        <v/>
      </c>
      <c r="D33" s="11">
        <f>C33/B33</f>
        <v/>
      </c>
    </row>
    <row r="34">
      <c r="A34" s="6" t="inlineStr">
        <is>
          <t>Toplam</t>
        </is>
      </c>
      <c r="B34" s="11">
        <f>SUM(B29:B33)</f>
        <v/>
      </c>
    </row>
    <row r="36">
      <c r="A36" s="6" t="inlineStr">
        <is>
          <t>λ_max (ENBÖZD)</t>
        </is>
      </c>
      <c r="B36" s="11">
        <f>AVERAGE(D29:D33)</f>
        <v/>
      </c>
    </row>
    <row r="37">
      <c r="A37" s="6" t="inlineStr">
        <is>
          <t>n (kriter sayısı)</t>
        </is>
      </c>
      <c r="B37" s="9" t="n">
        <v>5</v>
      </c>
    </row>
    <row r="38">
      <c r="A38" s="6" t="inlineStr">
        <is>
          <t>CI = (λ_max - n) / (n - 1)</t>
        </is>
      </c>
      <c r="B38" s="11">
        <f>(B36-B37)/(B37-1)</f>
        <v/>
      </c>
    </row>
    <row r="39">
      <c r="A39" s="6" t="inlineStr">
        <is>
          <t>RI (n=5)</t>
        </is>
      </c>
      <c r="B39" s="11" t="n">
        <v>1.11</v>
      </c>
    </row>
    <row r="40">
      <c r="A40" s="6" t="inlineStr">
        <is>
          <t>CR = CI / RI</t>
        </is>
      </c>
      <c r="B40" s="11">
        <f>B38/B39</f>
        <v/>
      </c>
    </row>
    <row r="41">
      <c r="A41" s="6" t="inlineStr">
        <is>
          <t>Tutarlılık Eşiği</t>
        </is>
      </c>
      <c r="B41" s="9" t="n">
        <v>0.1</v>
      </c>
    </row>
    <row r="42">
      <c r="A42" s="6" t="inlineStr">
        <is>
          <t>Durum</t>
        </is>
      </c>
      <c r="B42" s="12">
        <f>IF(B40&lt;=B41,"Tutarlı","Tutarsız")</f>
        <v/>
      </c>
    </row>
  </sheetData>
  <mergeCells count="4">
    <mergeCell ref="A20:F20"/>
    <mergeCell ref="A11:F11"/>
    <mergeCell ref="A3:B3"/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KATILIMCI 21 - AHP ANALİZİ</t>
        </is>
      </c>
    </row>
    <row r="3">
      <c r="A3" s="6" t="inlineStr">
        <is>
          <t>Demografik Bilgiler</t>
        </is>
      </c>
      <c r="B3" s="7" t="n"/>
    </row>
    <row r="4">
      <c r="A4" s="8" t="inlineStr">
        <is>
          <t>Cinsiyet</t>
        </is>
      </c>
      <c r="B4" s="9">
        <f>Anket_Yanitlari!B22</f>
        <v/>
      </c>
    </row>
    <row r="5">
      <c r="A5" s="8" t="inlineStr">
        <is>
          <t>Yaş</t>
        </is>
      </c>
      <c r="B5" s="9">
        <f>Anket_Yanitlari!C22</f>
        <v/>
      </c>
    </row>
    <row r="6">
      <c r="A6" s="8" t="inlineStr">
        <is>
          <t>Eğitim</t>
        </is>
      </c>
      <c r="B6" s="9">
        <f>Anket_Yanitlari!D22</f>
        <v/>
      </c>
    </row>
    <row r="7">
      <c r="A7" s="8" t="inlineStr">
        <is>
          <t>Meslek</t>
        </is>
      </c>
      <c r="B7" s="9">
        <f>Anket_Yanitlari!E22</f>
        <v/>
      </c>
    </row>
    <row r="8">
      <c r="A8" s="8" t="inlineStr">
        <is>
          <t>Alışveriş Sıklığı</t>
        </is>
      </c>
      <c r="B8" s="9">
        <f>Anket_Yanitlari!F22</f>
        <v/>
      </c>
    </row>
    <row r="9">
      <c r="A9" s="8" t="inlineStr">
        <is>
          <t>Cihaz</t>
        </is>
      </c>
      <c r="B9" s="9">
        <f>Anket_Yanitlari!G22</f>
        <v/>
      </c>
    </row>
    <row r="11">
      <c r="A11" s="6" t="inlineStr">
        <is>
          <t>İkili Karşılaştırma Matrisi (A)</t>
        </is>
      </c>
      <c r="B11" s="10" t="n"/>
      <c r="C11" s="10" t="n"/>
      <c r="D11" s="10" t="n"/>
      <c r="E11" s="10" t="n"/>
      <c r="F11" s="7" t="n"/>
    </row>
    <row r="12">
      <c r="B12" s="6" t="inlineStr">
        <is>
          <t>Ödeme</t>
        </is>
      </c>
      <c r="C12" s="6" t="inlineStr">
        <is>
          <t>Kullanıcı Deneyimi</t>
        </is>
      </c>
      <c r="D12" s="6" t="inlineStr">
        <is>
          <t>Kargo</t>
        </is>
      </c>
      <c r="E12" s="6" t="inlineStr">
        <is>
          <t>Müşteri Yorumları</t>
        </is>
      </c>
      <c r="F12" s="6" t="inlineStr">
        <is>
          <t>Fiyatlandırma</t>
        </is>
      </c>
    </row>
    <row r="13">
      <c r="A13" s="6" t="inlineStr">
        <is>
          <t>Ödeme</t>
        </is>
      </c>
      <c r="B13" s="11" t="n">
        <v>1</v>
      </c>
      <c r="C13" s="11">
        <f>Anket_Yanitlari!H22</f>
        <v/>
      </c>
      <c r="D13" s="11">
        <f>Anket_Yanitlari!I22</f>
        <v/>
      </c>
      <c r="E13" s="11">
        <f>Anket_Yanitlari!J22</f>
        <v/>
      </c>
      <c r="F13" s="11">
        <f>Anket_Yanitlari!K22</f>
        <v/>
      </c>
    </row>
    <row r="14">
      <c r="A14" s="6" t="inlineStr">
        <is>
          <t>Kullanıcı Deneyimi</t>
        </is>
      </c>
      <c r="B14" s="11">
        <f>1/C13</f>
        <v/>
      </c>
      <c r="C14" s="11" t="n">
        <v>1</v>
      </c>
      <c r="D14" s="11">
        <f>Anket_Yanitlari!L22</f>
        <v/>
      </c>
      <c r="E14" s="11">
        <f>Anket_Yanitlari!M22</f>
        <v/>
      </c>
      <c r="F14" s="11">
        <f>Anket_Yanitlari!N22</f>
        <v/>
      </c>
    </row>
    <row r="15">
      <c r="A15" s="6" t="inlineStr">
        <is>
          <t>Kargo</t>
        </is>
      </c>
      <c r="B15" s="11">
        <f>1/D13</f>
        <v/>
      </c>
      <c r="C15" s="11">
        <f>1/D14</f>
        <v/>
      </c>
      <c r="D15" s="11" t="n">
        <v>1</v>
      </c>
      <c r="E15" s="11">
        <f>Anket_Yanitlari!O22</f>
        <v/>
      </c>
      <c r="F15" s="11">
        <f>Anket_Yanitlari!P22</f>
        <v/>
      </c>
    </row>
    <row r="16">
      <c r="A16" s="6" t="inlineStr">
        <is>
          <t>Müşteri Yorumları</t>
        </is>
      </c>
      <c r="B16" s="11">
        <f>1/E13</f>
        <v/>
      </c>
      <c r="C16" s="11">
        <f>1/E14</f>
        <v/>
      </c>
      <c r="D16" s="11">
        <f>1/E15</f>
        <v/>
      </c>
      <c r="E16" s="11" t="n">
        <v>1</v>
      </c>
      <c r="F16" s="11">
        <f>Anket_Yanitlari!Q22</f>
        <v/>
      </c>
    </row>
    <row r="17">
      <c r="A17" s="6" t="inlineStr">
        <is>
          <t>Fiyatlandırma</t>
        </is>
      </c>
      <c r="B17" s="11">
        <f>1/F13</f>
        <v/>
      </c>
      <c r="C17" s="11">
        <f>1/F14</f>
        <v/>
      </c>
      <c r="D17" s="11">
        <f>1/F15</f>
        <v/>
      </c>
      <c r="E17" s="11">
        <f>1/F16</f>
        <v/>
      </c>
      <c r="F17" s="11" t="n">
        <v>1</v>
      </c>
    </row>
    <row r="18">
      <c r="A18" s="6" t="inlineStr">
        <is>
          <t>Sütun Toplamı</t>
        </is>
      </c>
      <c r="B18" s="11">
        <f>SUM(B13:B17)</f>
        <v/>
      </c>
      <c r="C18" s="11">
        <f>SUM(C13:C17)</f>
        <v/>
      </c>
      <c r="D18" s="11">
        <f>SUM(D13:D17)</f>
        <v/>
      </c>
      <c r="E18" s="11">
        <f>SUM(E13:E17)</f>
        <v/>
      </c>
      <c r="F18" s="11">
        <f>SUM(F13:F17)</f>
        <v/>
      </c>
    </row>
    <row r="20">
      <c r="A20" s="6" t="inlineStr">
        <is>
          <t>Normalize Matris (N)</t>
        </is>
      </c>
      <c r="B20" s="10" t="n"/>
      <c r="C20" s="10" t="n"/>
      <c r="D20" s="10" t="n"/>
      <c r="E20" s="10" t="n"/>
      <c r="F20" s="7" t="n"/>
    </row>
    <row r="21">
      <c r="B21" s="6" t="inlineStr">
        <is>
          <t>Ödeme</t>
        </is>
      </c>
      <c r="C21" s="6" t="inlineStr">
        <is>
          <t>Kullanıcı Deneyimi</t>
        </is>
      </c>
      <c r="D21" s="6" t="inlineStr">
        <is>
          <t>Kargo</t>
        </is>
      </c>
      <c r="E21" s="6" t="inlineStr">
        <is>
          <t>Müşteri Yorumları</t>
        </is>
      </c>
      <c r="F21" s="6" t="inlineStr">
        <is>
          <t>Fiyatlandırma</t>
        </is>
      </c>
    </row>
    <row r="22">
      <c r="A22" s="6" t="inlineStr">
        <is>
          <t>Ödeme</t>
        </is>
      </c>
      <c r="B22" s="11">
        <f>B13/B18</f>
        <v/>
      </c>
      <c r="C22" s="11">
        <f>C13/C18</f>
        <v/>
      </c>
      <c r="D22" s="11">
        <f>D13/D18</f>
        <v/>
      </c>
      <c r="E22" s="11">
        <f>E13/E18</f>
        <v/>
      </c>
      <c r="F22" s="11">
        <f>F13/F18</f>
        <v/>
      </c>
    </row>
    <row r="23">
      <c r="A23" s="6" t="inlineStr">
        <is>
          <t>Kullanıcı Deneyimi</t>
        </is>
      </c>
      <c r="B23" s="11">
        <f>B14/B18</f>
        <v/>
      </c>
      <c r="C23" s="11">
        <f>C14/C18</f>
        <v/>
      </c>
      <c r="D23" s="11">
        <f>D14/D18</f>
        <v/>
      </c>
      <c r="E23" s="11">
        <f>E14/E18</f>
        <v/>
      </c>
      <c r="F23" s="11">
        <f>F14/F18</f>
        <v/>
      </c>
    </row>
    <row r="24">
      <c r="A24" s="6" t="inlineStr">
        <is>
          <t>Kargo</t>
        </is>
      </c>
      <c r="B24" s="11">
        <f>B15/B18</f>
        <v/>
      </c>
      <c r="C24" s="11">
        <f>C15/C18</f>
        <v/>
      </c>
      <c r="D24" s="11">
        <f>D15/D18</f>
        <v/>
      </c>
      <c r="E24" s="11">
        <f>E15/E18</f>
        <v/>
      </c>
      <c r="F24" s="11">
        <f>F15/F18</f>
        <v/>
      </c>
    </row>
    <row r="25">
      <c r="A25" s="6" t="inlineStr">
        <is>
          <t>Müşteri Yorumları</t>
        </is>
      </c>
      <c r="B25" s="11">
        <f>B16/B18</f>
        <v/>
      </c>
      <c r="C25" s="11">
        <f>C16/C18</f>
        <v/>
      </c>
      <c r="D25" s="11">
        <f>D16/D18</f>
        <v/>
      </c>
      <c r="E25" s="11">
        <f>E16/E18</f>
        <v/>
      </c>
      <c r="F25" s="11">
        <f>F16/F18</f>
        <v/>
      </c>
    </row>
    <row r="26">
      <c r="A26" s="6" t="inlineStr">
        <is>
          <t>Fiyatlandırma</t>
        </is>
      </c>
      <c r="B26" s="11">
        <f>B17/B18</f>
        <v/>
      </c>
      <c r="C26" s="11">
        <f>C17/C18</f>
        <v/>
      </c>
      <c r="D26" s="11">
        <f>D17/D18</f>
        <v/>
      </c>
      <c r="E26" s="11">
        <f>E17/E18</f>
        <v/>
      </c>
      <c r="F26" s="11">
        <f>F17/F18</f>
        <v/>
      </c>
    </row>
    <row r="28">
      <c r="A28" s="6" t="inlineStr">
        <is>
          <t>Kriter</t>
        </is>
      </c>
      <c r="B28" s="6" t="inlineStr">
        <is>
          <t>ÖZV (w)</t>
        </is>
      </c>
      <c r="C28" s="6" t="inlineStr">
        <is>
          <t>A·w</t>
        </is>
      </c>
      <c r="D28" s="6" t="inlineStr">
        <is>
          <t>A·w / w</t>
        </is>
      </c>
    </row>
    <row r="29">
      <c r="A29" s="6" t="inlineStr">
        <is>
          <t>Ödeme</t>
        </is>
      </c>
      <c r="B29" s="11">
        <f>AVERAGE(B22:F22)</f>
        <v/>
      </c>
      <c r="C29" s="11">
        <f>B13*$B$29+C13*$B$30+D13*$B$31+E13*$B$32+F13*$B$33</f>
        <v/>
      </c>
      <c r="D29" s="11">
        <f>C29/B29</f>
        <v/>
      </c>
    </row>
    <row r="30">
      <c r="A30" s="6" t="inlineStr">
        <is>
          <t>Kullanıcı Deneyimi</t>
        </is>
      </c>
      <c r="B30" s="11">
        <f>AVERAGE(B23:F23)</f>
        <v/>
      </c>
      <c r="C30" s="11">
        <f>B14*$B$29+C14*$B$30+D14*$B$31+E14*$B$32+F14*$B$33</f>
        <v/>
      </c>
      <c r="D30" s="11">
        <f>C30/B30</f>
        <v/>
      </c>
    </row>
    <row r="31">
      <c r="A31" s="6" t="inlineStr">
        <is>
          <t>Kargo</t>
        </is>
      </c>
      <c r="B31" s="11">
        <f>AVERAGE(B24:F24)</f>
        <v/>
      </c>
      <c r="C31" s="11">
        <f>B15*$B$29+C15*$B$30+D15*$B$31+E15*$B$32+F15*$B$33</f>
        <v/>
      </c>
      <c r="D31" s="11">
        <f>C31/B31</f>
        <v/>
      </c>
    </row>
    <row r="32">
      <c r="A32" s="6" t="inlineStr">
        <is>
          <t>Müşteri Yorumları</t>
        </is>
      </c>
      <c r="B32" s="11">
        <f>AVERAGE(B25:F25)</f>
        <v/>
      </c>
      <c r="C32" s="11">
        <f>B16*$B$29+C16*$B$30+D16*$B$31+E16*$B$32+F16*$B$33</f>
        <v/>
      </c>
      <c r="D32" s="11">
        <f>C32/B32</f>
        <v/>
      </c>
    </row>
    <row r="33">
      <c r="A33" s="6" t="inlineStr">
        <is>
          <t>Fiyatlandırma</t>
        </is>
      </c>
      <c r="B33" s="11">
        <f>AVERAGE(B26:F26)</f>
        <v/>
      </c>
      <c r="C33" s="11">
        <f>B17*$B$29+C17*$B$30+D17*$B$31+E17*$B$32+F17*$B$33</f>
        <v/>
      </c>
      <c r="D33" s="11">
        <f>C33/B33</f>
        <v/>
      </c>
    </row>
    <row r="34">
      <c r="A34" s="6" t="inlineStr">
        <is>
          <t>Toplam</t>
        </is>
      </c>
      <c r="B34" s="11">
        <f>SUM(B29:B33)</f>
        <v/>
      </c>
    </row>
    <row r="36">
      <c r="A36" s="6" t="inlineStr">
        <is>
          <t>λ_max (ENBÖZD)</t>
        </is>
      </c>
      <c r="B36" s="11">
        <f>AVERAGE(D29:D33)</f>
        <v/>
      </c>
    </row>
    <row r="37">
      <c r="A37" s="6" t="inlineStr">
        <is>
          <t>n (kriter sayısı)</t>
        </is>
      </c>
      <c r="B37" s="9" t="n">
        <v>5</v>
      </c>
    </row>
    <row r="38">
      <c r="A38" s="6" t="inlineStr">
        <is>
          <t>CI = (λ_max - n) / (n - 1)</t>
        </is>
      </c>
      <c r="B38" s="11">
        <f>(B36-B37)/(B37-1)</f>
        <v/>
      </c>
    </row>
    <row r="39">
      <c r="A39" s="6" t="inlineStr">
        <is>
          <t>RI (n=5)</t>
        </is>
      </c>
      <c r="B39" s="11" t="n">
        <v>1.11</v>
      </c>
    </row>
    <row r="40">
      <c r="A40" s="6" t="inlineStr">
        <is>
          <t>CR = CI / RI</t>
        </is>
      </c>
      <c r="B40" s="11">
        <f>B38/B39</f>
        <v/>
      </c>
    </row>
    <row r="41">
      <c r="A41" s="6" t="inlineStr">
        <is>
          <t>Tutarlılık Eşiği</t>
        </is>
      </c>
      <c r="B41" s="9" t="n">
        <v>0.1</v>
      </c>
    </row>
    <row r="42">
      <c r="A42" s="6" t="inlineStr">
        <is>
          <t>Durum</t>
        </is>
      </c>
      <c r="B42" s="12">
        <f>IF(B40&lt;=B41,"Tutarlı","Tutarsız")</f>
        <v/>
      </c>
    </row>
  </sheetData>
  <mergeCells count="4">
    <mergeCell ref="A20:F20"/>
    <mergeCell ref="A11:F11"/>
    <mergeCell ref="A3:B3"/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KATILIMCI 22 - AHP ANALİZİ</t>
        </is>
      </c>
    </row>
    <row r="3">
      <c r="A3" s="6" t="inlineStr">
        <is>
          <t>Demografik Bilgiler</t>
        </is>
      </c>
      <c r="B3" s="7" t="n"/>
    </row>
    <row r="4">
      <c r="A4" s="8" t="inlineStr">
        <is>
          <t>Cinsiyet</t>
        </is>
      </c>
      <c r="B4" s="9">
        <f>Anket_Yanitlari!B23</f>
        <v/>
      </c>
    </row>
    <row r="5">
      <c r="A5" s="8" t="inlineStr">
        <is>
          <t>Yaş</t>
        </is>
      </c>
      <c r="B5" s="9">
        <f>Anket_Yanitlari!C23</f>
        <v/>
      </c>
    </row>
    <row r="6">
      <c r="A6" s="8" t="inlineStr">
        <is>
          <t>Eğitim</t>
        </is>
      </c>
      <c r="B6" s="9">
        <f>Anket_Yanitlari!D23</f>
        <v/>
      </c>
    </row>
    <row r="7">
      <c r="A7" s="8" t="inlineStr">
        <is>
          <t>Meslek</t>
        </is>
      </c>
      <c r="B7" s="9">
        <f>Anket_Yanitlari!E23</f>
        <v/>
      </c>
    </row>
    <row r="8">
      <c r="A8" s="8" t="inlineStr">
        <is>
          <t>Alışveriş Sıklığı</t>
        </is>
      </c>
      <c r="B8" s="9">
        <f>Anket_Yanitlari!F23</f>
        <v/>
      </c>
    </row>
    <row r="9">
      <c r="A9" s="8" t="inlineStr">
        <is>
          <t>Cihaz</t>
        </is>
      </c>
      <c r="B9" s="9">
        <f>Anket_Yanitlari!G23</f>
        <v/>
      </c>
    </row>
    <row r="11">
      <c r="A11" s="6" t="inlineStr">
        <is>
          <t>İkili Karşılaştırma Matrisi (A)</t>
        </is>
      </c>
      <c r="B11" s="10" t="n"/>
      <c r="C11" s="10" t="n"/>
      <c r="D11" s="10" t="n"/>
      <c r="E11" s="10" t="n"/>
      <c r="F11" s="7" t="n"/>
    </row>
    <row r="12">
      <c r="B12" s="6" t="inlineStr">
        <is>
          <t>Ödeme</t>
        </is>
      </c>
      <c r="C12" s="6" t="inlineStr">
        <is>
          <t>Kullanıcı Deneyimi</t>
        </is>
      </c>
      <c r="D12" s="6" t="inlineStr">
        <is>
          <t>Kargo</t>
        </is>
      </c>
      <c r="E12" s="6" t="inlineStr">
        <is>
          <t>Müşteri Yorumları</t>
        </is>
      </c>
      <c r="F12" s="6" t="inlineStr">
        <is>
          <t>Fiyatlandırma</t>
        </is>
      </c>
    </row>
    <row r="13">
      <c r="A13" s="6" t="inlineStr">
        <is>
          <t>Ödeme</t>
        </is>
      </c>
      <c r="B13" s="11" t="n">
        <v>1</v>
      </c>
      <c r="C13" s="11">
        <f>Anket_Yanitlari!H23</f>
        <v/>
      </c>
      <c r="D13" s="11">
        <f>Anket_Yanitlari!I23</f>
        <v/>
      </c>
      <c r="E13" s="11">
        <f>Anket_Yanitlari!J23</f>
        <v/>
      </c>
      <c r="F13" s="11">
        <f>Anket_Yanitlari!K23</f>
        <v/>
      </c>
    </row>
    <row r="14">
      <c r="A14" s="6" t="inlineStr">
        <is>
          <t>Kullanıcı Deneyimi</t>
        </is>
      </c>
      <c r="B14" s="11">
        <f>1/C13</f>
        <v/>
      </c>
      <c r="C14" s="11" t="n">
        <v>1</v>
      </c>
      <c r="D14" s="11">
        <f>Anket_Yanitlari!L23</f>
        <v/>
      </c>
      <c r="E14" s="11">
        <f>Anket_Yanitlari!M23</f>
        <v/>
      </c>
      <c r="F14" s="11">
        <f>Anket_Yanitlari!N23</f>
        <v/>
      </c>
    </row>
    <row r="15">
      <c r="A15" s="6" t="inlineStr">
        <is>
          <t>Kargo</t>
        </is>
      </c>
      <c r="B15" s="11">
        <f>1/D13</f>
        <v/>
      </c>
      <c r="C15" s="11">
        <f>1/D14</f>
        <v/>
      </c>
      <c r="D15" s="11" t="n">
        <v>1</v>
      </c>
      <c r="E15" s="11">
        <f>Anket_Yanitlari!O23</f>
        <v/>
      </c>
      <c r="F15" s="11">
        <f>Anket_Yanitlari!P23</f>
        <v/>
      </c>
    </row>
    <row r="16">
      <c r="A16" s="6" t="inlineStr">
        <is>
          <t>Müşteri Yorumları</t>
        </is>
      </c>
      <c r="B16" s="11">
        <f>1/E13</f>
        <v/>
      </c>
      <c r="C16" s="11">
        <f>1/E14</f>
        <v/>
      </c>
      <c r="D16" s="11">
        <f>1/E15</f>
        <v/>
      </c>
      <c r="E16" s="11" t="n">
        <v>1</v>
      </c>
      <c r="F16" s="11">
        <f>Anket_Yanitlari!Q23</f>
        <v/>
      </c>
    </row>
    <row r="17">
      <c r="A17" s="6" t="inlineStr">
        <is>
          <t>Fiyatlandırma</t>
        </is>
      </c>
      <c r="B17" s="11">
        <f>1/F13</f>
        <v/>
      </c>
      <c r="C17" s="11">
        <f>1/F14</f>
        <v/>
      </c>
      <c r="D17" s="11">
        <f>1/F15</f>
        <v/>
      </c>
      <c r="E17" s="11">
        <f>1/F16</f>
        <v/>
      </c>
      <c r="F17" s="11" t="n">
        <v>1</v>
      </c>
    </row>
    <row r="18">
      <c r="A18" s="6" t="inlineStr">
        <is>
          <t>Sütun Toplamı</t>
        </is>
      </c>
      <c r="B18" s="11">
        <f>SUM(B13:B17)</f>
        <v/>
      </c>
      <c r="C18" s="11">
        <f>SUM(C13:C17)</f>
        <v/>
      </c>
      <c r="D18" s="11">
        <f>SUM(D13:D17)</f>
        <v/>
      </c>
      <c r="E18" s="11">
        <f>SUM(E13:E17)</f>
        <v/>
      </c>
      <c r="F18" s="11">
        <f>SUM(F13:F17)</f>
        <v/>
      </c>
    </row>
    <row r="20">
      <c r="A20" s="6" t="inlineStr">
        <is>
          <t>Normalize Matris (N)</t>
        </is>
      </c>
      <c r="B20" s="10" t="n"/>
      <c r="C20" s="10" t="n"/>
      <c r="D20" s="10" t="n"/>
      <c r="E20" s="10" t="n"/>
      <c r="F20" s="7" t="n"/>
    </row>
    <row r="21">
      <c r="B21" s="6" t="inlineStr">
        <is>
          <t>Ödeme</t>
        </is>
      </c>
      <c r="C21" s="6" t="inlineStr">
        <is>
          <t>Kullanıcı Deneyimi</t>
        </is>
      </c>
      <c r="D21" s="6" t="inlineStr">
        <is>
          <t>Kargo</t>
        </is>
      </c>
      <c r="E21" s="6" t="inlineStr">
        <is>
          <t>Müşteri Yorumları</t>
        </is>
      </c>
      <c r="F21" s="6" t="inlineStr">
        <is>
          <t>Fiyatlandırma</t>
        </is>
      </c>
    </row>
    <row r="22">
      <c r="A22" s="6" t="inlineStr">
        <is>
          <t>Ödeme</t>
        </is>
      </c>
      <c r="B22" s="11">
        <f>B13/B18</f>
        <v/>
      </c>
      <c r="C22" s="11">
        <f>C13/C18</f>
        <v/>
      </c>
      <c r="D22" s="11">
        <f>D13/D18</f>
        <v/>
      </c>
      <c r="E22" s="11">
        <f>E13/E18</f>
        <v/>
      </c>
      <c r="F22" s="11">
        <f>F13/F18</f>
        <v/>
      </c>
    </row>
    <row r="23">
      <c r="A23" s="6" t="inlineStr">
        <is>
          <t>Kullanıcı Deneyimi</t>
        </is>
      </c>
      <c r="B23" s="11">
        <f>B14/B18</f>
        <v/>
      </c>
      <c r="C23" s="11">
        <f>C14/C18</f>
        <v/>
      </c>
      <c r="D23" s="11">
        <f>D14/D18</f>
        <v/>
      </c>
      <c r="E23" s="11">
        <f>E14/E18</f>
        <v/>
      </c>
      <c r="F23" s="11">
        <f>F14/F18</f>
        <v/>
      </c>
    </row>
    <row r="24">
      <c r="A24" s="6" t="inlineStr">
        <is>
          <t>Kargo</t>
        </is>
      </c>
      <c r="B24" s="11">
        <f>B15/B18</f>
        <v/>
      </c>
      <c r="C24" s="11">
        <f>C15/C18</f>
        <v/>
      </c>
      <c r="D24" s="11">
        <f>D15/D18</f>
        <v/>
      </c>
      <c r="E24" s="11">
        <f>E15/E18</f>
        <v/>
      </c>
      <c r="F24" s="11">
        <f>F15/F18</f>
        <v/>
      </c>
    </row>
    <row r="25">
      <c r="A25" s="6" t="inlineStr">
        <is>
          <t>Müşteri Yorumları</t>
        </is>
      </c>
      <c r="B25" s="11">
        <f>B16/B18</f>
        <v/>
      </c>
      <c r="C25" s="11">
        <f>C16/C18</f>
        <v/>
      </c>
      <c r="D25" s="11">
        <f>D16/D18</f>
        <v/>
      </c>
      <c r="E25" s="11">
        <f>E16/E18</f>
        <v/>
      </c>
      <c r="F25" s="11">
        <f>F16/F18</f>
        <v/>
      </c>
    </row>
    <row r="26">
      <c r="A26" s="6" t="inlineStr">
        <is>
          <t>Fiyatlandırma</t>
        </is>
      </c>
      <c r="B26" s="11">
        <f>B17/B18</f>
        <v/>
      </c>
      <c r="C26" s="11">
        <f>C17/C18</f>
        <v/>
      </c>
      <c r="D26" s="11">
        <f>D17/D18</f>
        <v/>
      </c>
      <c r="E26" s="11">
        <f>E17/E18</f>
        <v/>
      </c>
      <c r="F26" s="11">
        <f>F17/F18</f>
        <v/>
      </c>
    </row>
    <row r="28">
      <c r="A28" s="6" t="inlineStr">
        <is>
          <t>Kriter</t>
        </is>
      </c>
      <c r="B28" s="6" t="inlineStr">
        <is>
          <t>ÖZV (w)</t>
        </is>
      </c>
      <c r="C28" s="6" t="inlineStr">
        <is>
          <t>A·w</t>
        </is>
      </c>
      <c r="D28" s="6" t="inlineStr">
        <is>
          <t>A·w / w</t>
        </is>
      </c>
    </row>
    <row r="29">
      <c r="A29" s="6" t="inlineStr">
        <is>
          <t>Ödeme</t>
        </is>
      </c>
      <c r="B29" s="11">
        <f>AVERAGE(B22:F22)</f>
        <v/>
      </c>
      <c r="C29" s="11">
        <f>B13*$B$29+C13*$B$30+D13*$B$31+E13*$B$32+F13*$B$33</f>
        <v/>
      </c>
      <c r="D29" s="11">
        <f>C29/B29</f>
        <v/>
      </c>
    </row>
    <row r="30">
      <c r="A30" s="6" t="inlineStr">
        <is>
          <t>Kullanıcı Deneyimi</t>
        </is>
      </c>
      <c r="B30" s="11">
        <f>AVERAGE(B23:F23)</f>
        <v/>
      </c>
      <c r="C30" s="11">
        <f>B14*$B$29+C14*$B$30+D14*$B$31+E14*$B$32+F14*$B$33</f>
        <v/>
      </c>
      <c r="D30" s="11">
        <f>C30/B30</f>
        <v/>
      </c>
    </row>
    <row r="31">
      <c r="A31" s="6" t="inlineStr">
        <is>
          <t>Kargo</t>
        </is>
      </c>
      <c r="B31" s="11">
        <f>AVERAGE(B24:F24)</f>
        <v/>
      </c>
      <c r="C31" s="11">
        <f>B15*$B$29+C15*$B$30+D15*$B$31+E15*$B$32+F15*$B$33</f>
        <v/>
      </c>
      <c r="D31" s="11">
        <f>C31/B31</f>
        <v/>
      </c>
    </row>
    <row r="32">
      <c r="A32" s="6" t="inlineStr">
        <is>
          <t>Müşteri Yorumları</t>
        </is>
      </c>
      <c r="B32" s="11">
        <f>AVERAGE(B25:F25)</f>
        <v/>
      </c>
      <c r="C32" s="11">
        <f>B16*$B$29+C16*$B$30+D16*$B$31+E16*$B$32+F16*$B$33</f>
        <v/>
      </c>
      <c r="D32" s="11">
        <f>C32/B32</f>
        <v/>
      </c>
    </row>
    <row r="33">
      <c r="A33" s="6" t="inlineStr">
        <is>
          <t>Fiyatlandırma</t>
        </is>
      </c>
      <c r="B33" s="11">
        <f>AVERAGE(B26:F26)</f>
        <v/>
      </c>
      <c r="C33" s="11">
        <f>B17*$B$29+C17*$B$30+D17*$B$31+E17*$B$32+F17*$B$33</f>
        <v/>
      </c>
      <c r="D33" s="11">
        <f>C33/B33</f>
        <v/>
      </c>
    </row>
    <row r="34">
      <c r="A34" s="6" t="inlineStr">
        <is>
          <t>Toplam</t>
        </is>
      </c>
      <c r="B34" s="11">
        <f>SUM(B29:B33)</f>
        <v/>
      </c>
    </row>
    <row r="36">
      <c r="A36" s="6" t="inlineStr">
        <is>
          <t>λ_max (ENBÖZD)</t>
        </is>
      </c>
      <c r="B36" s="11">
        <f>AVERAGE(D29:D33)</f>
        <v/>
      </c>
    </row>
    <row r="37">
      <c r="A37" s="6" t="inlineStr">
        <is>
          <t>n (kriter sayısı)</t>
        </is>
      </c>
      <c r="B37" s="9" t="n">
        <v>5</v>
      </c>
    </row>
    <row r="38">
      <c r="A38" s="6" t="inlineStr">
        <is>
          <t>CI = (λ_max - n) / (n - 1)</t>
        </is>
      </c>
      <c r="B38" s="11">
        <f>(B36-B37)/(B37-1)</f>
        <v/>
      </c>
    </row>
    <row r="39">
      <c r="A39" s="6" t="inlineStr">
        <is>
          <t>RI (n=5)</t>
        </is>
      </c>
      <c r="B39" s="11" t="n">
        <v>1.11</v>
      </c>
    </row>
    <row r="40">
      <c r="A40" s="6" t="inlineStr">
        <is>
          <t>CR = CI / RI</t>
        </is>
      </c>
      <c r="B40" s="11">
        <f>B38/B39</f>
        <v/>
      </c>
    </row>
    <row r="41">
      <c r="A41" s="6" t="inlineStr">
        <is>
          <t>Tutarlılık Eşiği</t>
        </is>
      </c>
      <c r="B41" s="9" t="n">
        <v>0.1</v>
      </c>
    </row>
    <row r="42">
      <c r="A42" s="6" t="inlineStr">
        <is>
          <t>Durum</t>
        </is>
      </c>
      <c r="B42" s="12">
        <f>IF(B40&lt;=B41,"Tutarlı","Tutarsız")</f>
        <v/>
      </c>
    </row>
  </sheetData>
  <mergeCells count="4">
    <mergeCell ref="A20:F20"/>
    <mergeCell ref="A11:F11"/>
    <mergeCell ref="A3:B3"/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KATILIMCI 23 - AHP ANALİZİ</t>
        </is>
      </c>
    </row>
    <row r="3">
      <c r="A3" s="6" t="inlineStr">
        <is>
          <t>Demografik Bilgiler</t>
        </is>
      </c>
      <c r="B3" s="7" t="n"/>
    </row>
    <row r="4">
      <c r="A4" s="8" t="inlineStr">
        <is>
          <t>Cinsiyet</t>
        </is>
      </c>
      <c r="B4" s="9">
        <f>Anket_Yanitlari!B24</f>
        <v/>
      </c>
    </row>
    <row r="5">
      <c r="A5" s="8" t="inlineStr">
        <is>
          <t>Yaş</t>
        </is>
      </c>
      <c r="B5" s="9">
        <f>Anket_Yanitlari!C24</f>
        <v/>
      </c>
    </row>
    <row r="6">
      <c r="A6" s="8" t="inlineStr">
        <is>
          <t>Eğitim</t>
        </is>
      </c>
      <c r="B6" s="9">
        <f>Anket_Yanitlari!D24</f>
        <v/>
      </c>
    </row>
    <row r="7">
      <c r="A7" s="8" t="inlineStr">
        <is>
          <t>Meslek</t>
        </is>
      </c>
      <c r="B7" s="9">
        <f>Anket_Yanitlari!E24</f>
        <v/>
      </c>
    </row>
    <row r="8">
      <c r="A8" s="8" t="inlineStr">
        <is>
          <t>Alışveriş Sıklığı</t>
        </is>
      </c>
      <c r="B8" s="9">
        <f>Anket_Yanitlari!F24</f>
        <v/>
      </c>
    </row>
    <row r="9">
      <c r="A9" s="8" t="inlineStr">
        <is>
          <t>Cihaz</t>
        </is>
      </c>
      <c r="B9" s="9">
        <f>Anket_Yanitlari!G24</f>
        <v/>
      </c>
    </row>
    <row r="11">
      <c r="A11" s="6" t="inlineStr">
        <is>
          <t>İkili Karşılaştırma Matrisi (A)</t>
        </is>
      </c>
      <c r="B11" s="10" t="n"/>
      <c r="C11" s="10" t="n"/>
      <c r="D11" s="10" t="n"/>
      <c r="E11" s="10" t="n"/>
      <c r="F11" s="7" t="n"/>
    </row>
    <row r="12">
      <c r="B12" s="6" t="inlineStr">
        <is>
          <t>Ödeme</t>
        </is>
      </c>
      <c r="C12" s="6" t="inlineStr">
        <is>
          <t>Kullanıcı Deneyimi</t>
        </is>
      </c>
      <c r="D12" s="6" t="inlineStr">
        <is>
          <t>Kargo</t>
        </is>
      </c>
      <c r="E12" s="6" t="inlineStr">
        <is>
          <t>Müşteri Yorumları</t>
        </is>
      </c>
      <c r="F12" s="6" t="inlineStr">
        <is>
          <t>Fiyatlandırma</t>
        </is>
      </c>
    </row>
    <row r="13">
      <c r="A13" s="6" t="inlineStr">
        <is>
          <t>Ödeme</t>
        </is>
      </c>
      <c r="B13" s="11" t="n">
        <v>1</v>
      </c>
      <c r="C13" s="11">
        <f>Anket_Yanitlari!H24</f>
        <v/>
      </c>
      <c r="D13" s="11">
        <f>Anket_Yanitlari!I24</f>
        <v/>
      </c>
      <c r="E13" s="11">
        <f>Anket_Yanitlari!J24</f>
        <v/>
      </c>
      <c r="F13" s="11">
        <f>Anket_Yanitlari!K24</f>
        <v/>
      </c>
    </row>
    <row r="14">
      <c r="A14" s="6" t="inlineStr">
        <is>
          <t>Kullanıcı Deneyimi</t>
        </is>
      </c>
      <c r="B14" s="11">
        <f>1/C13</f>
        <v/>
      </c>
      <c r="C14" s="11" t="n">
        <v>1</v>
      </c>
      <c r="D14" s="11">
        <f>Anket_Yanitlari!L24</f>
        <v/>
      </c>
      <c r="E14" s="11">
        <f>Anket_Yanitlari!M24</f>
        <v/>
      </c>
      <c r="F14" s="11">
        <f>Anket_Yanitlari!N24</f>
        <v/>
      </c>
    </row>
    <row r="15">
      <c r="A15" s="6" t="inlineStr">
        <is>
          <t>Kargo</t>
        </is>
      </c>
      <c r="B15" s="11">
        <f>1/D13</f>
        <v/>
      </c>
      <c r="C15" s="11">
        <f>1/D14</f>
        <v/>
      </c>
      <c r="D15" s="11" t="n">
        <v>1</v>
      </c>
      <c r="E15" s="11">
        <f>Anket_Yanitlari!O24</f>
        <v/>
      </c>
      <c r="F15" s="11">
        <f>Anket_Yanitlari!P24</f>
        <v/>
      </c>
    </row>
    <row r="16">
      <c r="A16" s="6" t="inlineStr">
        <is>
          <t>Müşteri Yorumları</t>
        </is>
      </c>
      <c r="B16" s="11">
        <f>1/E13</f>
        <v/>
      </c>
      <c r="C16" s="11">
        <f>1/E14</f>
        <v/>
      </c>
      <c r="D16" s="11">
        <f>1/E15</f>
        <v/>
      </c>
      <c r="E16" s="11" t="n">
        <v>1</v>
      </c>
      <c r="F16" s="11">
        <f>Anket_Yanitlari!Q24</f>
        <v/>
      </c>
    </row>
    <row r="17">
      <c r="A17" s="6" t="inlineStr">
        <is>
          <t>Fiyatlandırma</t>
        </is>
      </c>
      <c r="B17" s="11">
        <f>1/F13</f>
        <v/>
      </c>
      <c r="C17" s="11">
        <f>1/F14</f>
        <v/>
      </c>
      <c r="D17" s="11">
        <f>1/F15</f>
        <v/>
      </c>
      <c r="E17" s="11">
        <f>1/F16</f>
        <v/>
      </c>
      <c r="F17" s="11" t="n">
        <v>1</v>
      </c>
    </row>
    <row r="18">
      <c r="A18" s="6" t="inlineStr">
        <is>
          <t>Sütun Toplamı</t>
        </is>
      </c>
      <c r="B18" s="11">
        <f>SUM(B13:B17)</f>
        <v/>
      </c>
      <c r="C18" s="11">
        <f>SUM(C13:C17)</f>
        <v/>
      </c>
      <c r="D18" s="11">
        <f>SUM(D13:D17)</f>
        <v/>
      </c>
      <c r="E18" s="11">
        <f>SUM(E13:E17)</f>
        <v/>
      </c>
      <c r="F18" s="11">
        <f>SUM(F13:F17)</f>
        <v/>
      </c>
    </row>
    <row r="20">
      <c r="A20" s="6" t="inlineStr">
        <is>
          <t>Normalize Matris (N)</t>
        </is>
      </c>
      <c r="B20" s="10" t="n"/>
      <c r="C20" s="10" t="n"/>
      <c r="D20" s="10" t="n"/>
      <c r="E20" s="10" t="n"/>
      <c r="F20" s="7" t="n"/>
    </row>
    <row r="21">
      <c r="B21" s="6" t="inlineStr">
        <is>
          <t>Ödeme</t>
        </is>
      </c>
      <c r="C21" s="6" t="inlineStr">
        <is>
          <t>Kullanıcı Deneyimi</t>
        </is>
      </c>
      <c r="D21" s="6" t="inlineStr">
        <is>
          <t>Kargo</t>
        </is>
      </c>
      <c r="E21" s="6" t="inlineStr">
        <is>
          <t>Müşteri Yorumları</t>
        </is>
      </c>
      <c r="F21" s="6" t="inlineStr">
        <is>
          <t>Fiyatlandırma</t>
        </is>
      </c>
    </row>
    <row r="22">
      <c r="A22" s="6" t="inlineStr">
        <is>
          <t>Ödeme</t>
        </is>
      </c>
      <c r="B22" s="11">
        <f>B13/B18</f>
        <v/>
      </c>
      <c r="C22" s="11">
        <f>C13/C18</f>
        <v/>
      </c>
      <c r="D22" s="11">
        <f>D13/D18</f>
        <v/>
      </c>
      <c r="E22" s="11">
        <f>E13/E18</f>
        <v/>
      </c>
      <c r="F22" s="11">
        <f>F13/F18</f>
        <v/>
      </c>
    </row>
    <row r="23">
      <c r="A23" s="6" t="inlineStr">
        <is>
          <t>Kullanıcı Deneyimi</t>
        </is>
      </c>
      <c r="B23" s="11">
        <f>B14/B18</f>
        <v/>
      </c>
      <c r="C23" s="11">
        <f>C14/C18</f>
        <v/>
      </c>
      <c r="D23" s="11">
        <f>D14/D18</f>
        <v/>
      </c>
      <c r="E23" s="11">
        <f>E14/E18</f>
        <v/>
      </c>
      <c r="F23" s="11">
        <f>F14/F18</f>
        <v/>
      </c>
    </row>
    <row r="24">
      <c r="A24" s="6" t="inlineStr">
        <is>
          <t>Kargo</t>
        </is>
      </c>
      <c r="B24" s="11">
        <f>B15/B18</f>
        <v/>
      </c>
      <c r="C24" s="11">
        <f>C15/C18</f>
        <v/>
      </c>
      <c r="D24" s="11">
        <f>D15/D18</f>
        <v/>
      </c>
      <c r="E24" s="11">
        <f>E15/E18</f>
        <v/>
      </c>
      <c r="F24" s="11">
        <f>F15/F18</f>
        <v/>
      </c>
    </row>
    <row r="25">
      <c r="A25" s="6" t="inlineStr">
        <is>
          <t>Müşteri Yorumları</t>
        </is>
      </c>
      <c r="B25" s="11">
        <f>B16/B18</f>
        <v/>
      </c>
      <c r="C25" s="11">
        <f>C16/C18</f>
        <v/>
      </c>
      <c r="D25" s="11">
        <f>D16/D18</f>
        <v/>
      </c>
      <c r="E25" s="11">
        <f>E16/E18</f>
        <v/>
      </c>
      <c r="F25" s="11">
        <f>F16/F18</f>
        <v/>
      </c>
    </row>
    <row r="26">
      <c r="A26" s="6" t="inlineStr">
        <is>
          <t>Fiyatlandırma</t>
        </is>
      </c>
      <c r="B26" s="11">
        <f>B17/B18</f>
        <v/>
      </c>
      <c r="C26" s="11">
        <f>C17/C18</f>
        <v/>
      </c>
      <c r="D26" s="11">
        <f>D17/D18</f>
        <v/>
      </c>
      <c r="E26" s="11">
        <f>E17/E18</f>
        <v/>
      </c>
      <c r="F26" s="11">
        <f>F17/F18</f>
        <v/>
      </c>
    </row>
    <row r="28">
      <c r="A28" s="6" t="inlineStr">
        <is>
          <t>Kriter</t>
        </is>
      </c>
      <c r="B28" s="6" t="inlineStr">
        <is>
          <t>ÖZV (w)</t>
        </is>
      </c>
      <c r="C28" s="6" t="inlineStr">
        <is>
          <t>A·w</t>
        </is>
      </c>
      <c r="D28" s="6" t="inlineStr">
        <is>
          <t>A·w / w</t>
        </is>
      </c>
    </row>
    <row r="29">
      <c r="A29" s="6" t="inlineStr">
        <is>
          <t>Ödeme</t>
        </is>
      </c>
      <c r="B29" s="11">
        <f>AVERAGE(B22:F22)</f>
        <v/>
      </c>
      <c r="C29" s="11">
        <f>B13*$B$29+C13*$B$30+D13*$B$31+E13*$B$32+F13*$B$33</f>
        <v/>
      </c>
      <c r="D29" s="11">
        <f>C29/B29</f>
        <v/>
      </c>
    </row>
    <row r="30">
      <c r="A30" s="6" t="inlineStr">
        <is>
          <t>Kullanıcı Deneyimi</t>
        </is>
      </c>
      <c r="B30" s="11">
        <f>AVERAGE(B23:F23)</f>
        <v/>
      </c>
      <c r="C30" s="11">
        <f>B14*$B$29+C14*$B$30+D14*$B$31+E14*$B$32+F14*$B$33</f>
        <v/>
      </c>
      <c r="D30" s="11">
        <f>C30/B30</f>
        <v/>
      </c>
    </row>
    <row r="31">
      <c r="A31" s="6" t="inlineStr">
        <is>
          <t>Kargo</t>
        </is>
      </c>
      <c r="B31" s="11">
        <f>AVERAGE(B24:F24)</f>
        <v/>
      </c>
      <c r="C31" s="11">
        <f>B15*$B$29+C15*$B$30+D15*$B$31+E15*$B$32+F15*$B$33</f>
        <v/>
      </c>
      <c r="D31" s="11">
        <f>C31/B31</f>
        <v/>
      </c>
    </row>
    <row r="32">
      <c r="A32" s="6" t="inlineStr">
        <is>
          <t>Müşteri Yorumları</t>
        </is>
      </c>
      <c r="B32" s="11">
        <f>AVERAGE(B25:F25)</f>
        <v/>
      </c>
      <c r="C32" s="11">
        <f>B16*$B$29+C16*$B$30+D16*$B$31+E16*$B$32+F16*$B$33</f>
        <v/>
      </c>
      <c r="D32" s="11">
        <f>C32/B32</f>
        <v/>
      </c>
    </row>
    <row r="33">
      <c r="A33" s="6" t="inlineStr">
        <is>
          <t>Fiyatlandırma</t>
        </is>
      </c>
      <c r="B33" s="11">
        <f>AVERAGE(B26:F26)</f>
        <v/>
      </c>
      <c r="C33" s="11">
        <f>B17*$B$29+C17*$B$30+D17*$B$31+E17*$B$32+F17*$B$33</f>
        <v/>
      </c>
      <c r="D33" s="11">
        <f>C33/B33</f>
        <v/>
      </c>
    </row>
    <row r="34">
      <c r="A34" s="6" t="inlineStr">
        <is>
          <t>Toplam</t>
        </is>
      </c>
      <c r="B34" s="11">
        <f>SUM(B29:B33)</f>
        <v/>
      </c>
    </row>
    <row r="36">
      <c r="A36" s="6" t="inlineStr">
        <is>
          <t>λ_max (ENBÖZD)</t>
        </is>
      </c>
      <c r="B36" s="11">
        <f>AVERAGE(D29:D33)</f>
        <v/>
      </c>
    </row>
    <row r="37">
      <c r="A37" s="6" t="inlineStr">
        <is>
          <t>n (kriter sayısı)</t>
        </is>
      </c>
      <c r="B37" s="9" t="n">
        <v>5</v>
      </c>
    </row>
    <row r="38">
      <c r="A38" s="6" t="inlineStr">
        <is>
          <t>CI = (λ_max - n) / (n - 1)</t>
        </is>
      </c>
      <c r="B38" s="11">
        <f>(B36-B37)/(B37-1)</f>
        <v/>
      </c>
    </row>
    <row r="39">
      <c r="A39" s="6" t="inlineStr">
        <is>
          <t>RI (n=5)</t>
        </is>
      </c>
      <c r="B39" s="11" t="n">
        <v>1.11</v>
      </c>
    </row>
    <row r="40">
      <c r="A40" s="6" t="inlineStr">
        <is>
          <t>CR = CI / RI</t>
        </is>
      </c>
      <c r="B40" s="11">
        <f>B38/B39</f>
        <v/>
      </c>
    </row>
    <row r="41">
      <c r="A41" s="6" t="inlineStr">
        <is>
          <t>Tutarlılık Eşiği</t>
        </is>
      </c>
      <c r="B41" s="9" t="n">
        <v>0.1</v>
      </c>
    </row>
    <row r="42">
      <c r="A42" s="6" t="inlineStr">
        <is>
          <t>Durum</t>
        </is>
      </c>
      <c r="B42" s="12">
        <f>IF(B40&lt;=B41,"Tutarlı","Tutarsız")</f>
        <v/>
      </c>
    </row>
  </sheetData>
  <mergeCells count="4">
    <mergeCell ref="A20:F20"/>
    <mergeCell ref="A11:F11"/>
    <mergeCell ref="A3:B3"/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KATILIMCI 24 - AHP ANALİZİ</t>
        </is>
      </c>
    </row>
    <row r="3">
      <c r="A3" s="6" t="inlineStr">
        <is>
          <t>Demografik Bilgiler</t>
        </is>
      </c>
      <c r="B3" s="7" t="n"/>
    </row>
    <row r="4">
      <c r="A4" s="8" t="inlineStr">
        <is>
          <t>Cinsiyet</t>
        </is>
      </c>
      <c r="B4" s="9">
        <f>Anket_Yanitlari!B25</f>
        <v/>
      </c>
    </row>
    <row r="5">
      <c r="A5" s="8" t="inlineStr">
        <is>
          <t>Yaş</t>
        </is>
      </c>
      <c r="B5" s="9">
        <f>Anket_Yanitlari!C25</f>
        <v/>
      </c>
    </row>
    <row r="6">
      <c r="A6" s="8" t="inlineStr">
        <is>
          <t>Eğitim</t>
        </is>
      </c>
      <c r="B6" s="9">
        <f>Anket_Yanitlari!D25</f>
        <v/>
      </c>
    </row>
    <row r="7">
      <c r="A7" s="8" t="inlineStr">
        <is>
          <t>Meslek</t>
        </is>
      </c>
      <c r="B7" s="9">
        <f>Anket_Yanitlari!E25</f>
        <v/>
      </c>
    </row>
    <row r="8">
      <c r="A8" s="8" t="inlineStr">
        <is>
          <t>Alışveriş Sıklığı</t>
        </is>
      </c>
      <c r="B8" s="9">
        <f>Anket_Yanitlari!F25</f>
        <v/>
      </c>
    </row>
    <row r="9">
      <c r="A9" s="8" t="inlineStr">
        <is>
          <t>Cihaz</t>
        </is>
      </c>
      <c r="B9" s="9">
        <f>Anket_Yanitlari!G25</f>
        <v/>
      </c>
    </row>
    <row r="11">
      <c r="A11" s="6" t="inlineStr">
        <is>
          <t>İkili Karşılaştırma Matrisi (A)</t>
        </is>
      </c>
      <c r="B11" s="10" t="n"/>
      <c r="C11" s="10" t="n"/>
      <c r="D11" s="10" t="n"/>
      <c r="E11" s="10" t="n"/>
      <c r="F11" s="7" t="n"/>
    </row>
    <row r="12">
      <c r="B12" s="6" t="inlineStr">
        <is>
          <t>Ödeme</t>
        </is>
      </c>
      <c r="C12" s="6" t="inlineStr">
        <is>
          <t>Kullanıcı Deneyimi</t>
        </is>
      </c>
      <c r="D12" s="6" t="inlineStr">
        <is>
          <t>Kargo</t>
        </is>
      </c>
      <c r="E12" s="6" t="inlineStr">
        <is>
          <t>Müşteri Yorumları</t>
        </is>
      </c>
      <c r="F12" s="6" t="inlineStr">
        <is>
          <t>Fiyatlandırma</t>
        </is>
      </c>
    </row>
    <row r="13">
      <c r="A13" s="6" t="inlineStr">
        <is>
          <t>Ödeme</t>
        </is>
      </c>
      <c r="B13" s="11" t="n">
        <v>1</v>
      </c>
      <c r="C13" s="11">
        <f>Anket_Yanitlari!H25</f>
        <v/>
      </c>
      <c r="D13" s="11">
        <f>Anket_Yanitlari!I25</f>
        <v/>
      </c>
      <c r="E13" s="11">
        <f>Anket_Yanitlari!J25</f>
        <v/>
      </c>
      <c r="F13" s="11">
        <f>Anket_Yanitlari!K25</f>
        <v/>
      </c>
    </row>
    <row r="14">
      <c r="A14" s="6" t="inlineStr">
        <is>
          <t>Kullanıcı Deneyimi</t>
        </is>
      </c>
      <c r="B14" s="11">
        <f>1/C13</f>
        <v/>
      </c>
      <c r="C14" s="11" t="n">
        <v>1</v>
      </c>
      <c r="D14" s="11">
        <f>Anket_Yanitlari!L25</f>
        <v/>
      </c>
      <c r="E14" s="11">
        <f>Anket_Yanitlari!M25</f>
        <v/>
      </c>
      <c r="F14" s="11">
        <f>Anket_Yanitlari!N25</f>
        <v/>
      </c>
    </row>
    <row r="15">
      <c r="A15" s="6" t="inlineStr">
        <is>
          <t>Kargo</t>
        </is>
      </c>
      <c r="B15" s="11">
        <f>1/D13</f>
        <v/>
      </c>
      <c r="C15" s="11">
        <f>1/D14</f>
        <v/>
      </c>
      <c r="D15" s="11" t="n">
        <v>1</v>
      </c>
      <c r="E15" s="11">
        <f>Anket_Yanitlari!O25</f>
        <v/>
      </c>
      <c r="F15" s="11">
        <f>Anket_Yanitlari!P25</f>
        <v/>
      </c>
    </row>
    <row r="16">
      <c r="A16" s="6" t="inlineStr">
        <is>
          <t>Müşteri Yorumları</t>
        </is>
      </c>
      <c r="B16" s="11">
        <f>1/E13</f>
        <v/>
      </c>
      <c r="C16" s="11">
        <f>1/E14</f>
        <v/>
      </c>
      <c r="D16" s="11">
        <f>1/E15</f>
        <v/>
      </c>
      <c r="E16" s="11" t="n">
        <v>1</v>
      </c>
      <c r="F16" s="11">
        <f>Anket_Yanitlari!Q25</f>
        <v/>
      </c>
    </row>
    <row r="17">
      <c r="A17" s="6" t="inlineStr">
        <is>
          <t>Fiyatlandırma</t>
        </is>
      </c>
      <c r="B17" s="11">
        <f>1/F13</f>
        <v/>
      </c>
      <c r="C17" s="11">
        <f>1/F14</f>
        <v/>
      </c>
      <c r="D17" s="11">
        <f>1/F15</f>
        <v/>
      </c>
      <c r="E17" s="11">
        <f>1/F16</f>
        <v/>
      </c>
      <c r="F17" s="11" t="n">
        <v>1</v>
      </c>
    </row>
    <row r="18">
      <c r="A18" s="6" t="inlineStr">
        <is>
          <t>Sütun Toplamı</t>
        </is>
      </c>
      <c r="B18" s="11">
        <f>SUM(B13:B17)</f>
        <v/>
      </c>
      <c r="C18" s="11">
        <f>SUM(C13:C17)</f>
        <v/>
      </c>
      <c r="D18" s="11">
        <f>SUM(D13:D17)</f>
        <v/>
      </c>
      <c r="E18" s="11">
        <f>SUM(E13:E17)</f>
        <v/>
      </c>
      <c r="F18" s="11">
        <f>SUM(F13:F17)</f>
        <v/>
      </c>
    </row>
    <row r="20">
      <c r="A20" s="6" t="inlineStr">
        <is>
          <t>Normalize Matris (N)</t>
        </is>
      </c>
      <c r="B20" s="10" t="n"/>
      <c r="C20" s="10" t="n"/>
      <c r="D20" s="10" t="n"/>
      <c r="E20" s="10" t="n"/>
      <c r="F20" s="7" t="n"/>
    </row>
    <row r="21">
      <c r="B21" s="6" t="inlineStr">
        <is>
          <t>Ödeme</t>
        </is>
      </c>
      <c r="C21" s="6" t="inlineStr">
        <is>
          <t>Kullanıcı Deneyimi</t>
        </is>
      </c>
      <c r="D21" s="6" t="inlineStr">
        <is>
          <t>Kargo</t>
        </is>
      </c>
      <c r="E21" s="6" t="inlineStr">
        <is>
          <t>Müşteri Yorumları</t>
        </is>
      </c>
      <c r="F21" s="6" t="inlineStr">
        <is>
          <t>Fiyatlandırma</t>
        </is>
      </c>
    </row>
    <row r="22">
      <c r="A22" s="6" t="inlineStr">
        <is>
          <t>Ödeme</t>
        </is>
      </c>
      <c r="B22" s="11">
        <f>B13/B18</f>
        <v/>
      </c>
      <c r="C22" s="11">
        <f>C13/C18</f>
        <v/>
      </c>
      <c r="D22" s="11">
        <f>D13/D18</f>
        <v/>
      </c>
      <c r="E22" s="11">
        <f>E13/E18</f>
        <v/>
      </c>
      <c r="F22" s="11">
        <f>F13/F18</f>
        <v/>
      </c>
    </row>
    <row r="23">
      <c r="A23" s="6" t="inlineStr">
        <is>
          <t>Kullanıcı Deneyimi</t>
        </is>
      </c>
      <c r="B23" s="11">
        <f>B14/B18</f>
        <v/>
      </c>
      <c r="C23" s="11">
        <f>C14/C18</f>
        <v/>
      </c>
      <c r="D23" s="11">
        <f>D14/D18</f>
        <v/>
      </c>
      <c r="E23" s="11">
        <f>E14/E18</f>
        <v/>
      </c>
      <c r="F23" s="11">
        <f>F14/F18</f>
        <v/>
      </c>
    </row>
    <row r="24">
      <c r="A24" s="6" t="inlineStr">
        <is>
          <t>Kargo</t>
        </is>
      </c>
      <c r="B24" s="11">
        <f>B15/B18</f>
        <v/>
      </c>
      <c r="C24" s="11">
        <f>C15/C18</f>
        <v/>
      </c>
      <c r="D24" s="11">
        <f>D15/D18</f>
        <v/>
      </c>
      <c r="E24" s="11">
        <f>E15/E18</f>
        <v/>
      </c>
      <c r="F24" s="11">
        <f>F15/F18</f>
        <v/>
      </c>
    </row>
    <row r="25">
      <c r="A25" s="6" t="inlineStr">
        <is>
          <t>Müşteri Yorumları</t>
        </is>
      </c>
      <c r="B25" s="11">
        <f>B16/B18</f>
        <v/>
      </c>
      <c r="C25" s="11">
        <f>C16/C18</f>
        <v/>
      </c>
      <c r="D25" s="11">
        <f>D16/D18</f>
        <v/>
      </c>
      <c r="E25" s="11">
        <f>E16/E18</f>
        <v/>
      </c>
      <c r="F25" s="11">
        <f>F16/F18</f>
        <v/>
      </c>
    </row>
    <row r="26">
      <c r="A26" s="6" t="inlineStr">
        <is>
          <t>Fiyatlandırma</t>
        </is>
      </c>
      <c r="B26" s="11">
        <f>B17/B18</f>
        <v/>
      </c>
      <c r="C26" s="11">
        <f>C17/C18</f>
        <v/>
      </c>
      <c r="D26" s="11">
        <f>D17/D18</f>
        <v/>
      </c>
      <c r="E26" s="11">
        <f>E17/E18</f>
        <v/>
      </c>
      <c r="F26" s="11">
        <f>F17/F18</f>
        <v/>
      </c>
    </row>
    <row r="28">
      <c r="A28" s="6" t="inlineStr">
        <is>
          <t>Kriter</t>
        </is>
      </c>
      <c r="B28" s="6" t="inlineStr">
        <is>
          <t>ÖZV (w)</t>
        </is>
      </c>
      <c r="C28" s="6" t="inlineStr">
        <is>
          <t>A·w</t>
        </is>
      </c>
      <c r="D28" s="6" t="inlineStr">
        <is>
          <t>A·w / w</t>
        </is>
      </c>
    </row>
    <row r="29">
      <c r="A29" s="6" t="inlineStr">
        <is>
          <t>Ödeme</t>
        </is>
      </c>
      <c r="B29" s="11">
        <f>AVERAGE(B22:F22)</f>
        <v/>
      </c>
      <c r="C29" s="11">
        <f>B13*$B$29+C13*$B$30+D13*$B$31+E13*$B$32+F13*$B$33</f>
        <v/>
      </c>
      <c r="D29" s="11">
        <f>C29/B29</f>
        <v/>
      </c>
    </row>
    <row r="30">
      <c r="A30" s="6" t="inlineStr">
        <is>
          <t>Kullanıcı Deneyimi</t>
        </is>
      </c>
      <c r="B30" s="11">
        <f>AVERAGE(B23:F23)</f>
        <v/>
      </c>
      <c r="C30" s="11">
        <f>B14*$B$29+C14*$B$30+D14*$B$31+E14*$B$32+F14*$B$33</f>
        <v/>
      </c>
      <c r="D30" s="11">
        <f>C30/B30</f>
        <v/>
      </c>
    </row>
    <row r="31">
      <c r="A31" s="6" t="inlineStr">
        <is>
          <t>Kargo</t>
        </is>
      </c>
      <c r="B31" s="11">
        <f>AVERAGE(B24:F24)</f>
        <v/>
      </c>
      <c r="C31" s="11">
        <f>B15*$B$29+C15*$B$30+D15*$B$31+E15*$B$32+F15*$B$33</f>
        <v/>
      </c>
      <c r="D31" s="11">
        <f>C31/B31</f>
        <v/>
      </c>
    </row>
    <row r="32">
      <c r="A32" s="6" t="inlineStr">
        <is>
          <t>Müşteri Yorumları</t>
        </is>
      </c>
      <c r="B32" s="11">
        <f>AVERAGE(B25:F25)</f>
        <v/>
      </c>
      <c r="C32" s="11">
        <f>B16*$B$29+C16*$B$30+D16*$B$31+E16*$B$32+F16*$B$33</f>
        <v/>
      </c>
      <c r="D32" s="11">
        <f>C32/B32</f>
        <v/>
      </c>
    </row>
    <row r="33">
      <c r="A33" s="6" t="inlineStr">
        <is>
          <t>Fiyatlandırma</t>
        </is>
      </c>
      <c r="B33" s="11">
        <f>AVERAGE(B26:F26)</f>
        <v/>
      </c>
      <c r="C33" s="11">
        <f>B17*$B$29+C17*$B$30+D17*$B$31+E17*$B$32+F17*$B$33</f>
        <v/>
      </c>
      <c r="D33" s="11">
        <f>C33/B33</f>
        <v/>
      </c>
    </row>
    <row r="34">
      <c r="A34" s="6" t="inlineStr">
        <is>
          <t>Toplam</t>
        </is>
      </c>
      <c r="B34" s="11">
        <f>SUM(B29:B33)</f>
        <v/>
      </c>
    </row>
    <row r="36">
      <c r="A36" s="6" t="inlineStr">
        <is>
          <t>λ_max (ENBÖZD)</t>
        </is>
      </c>
      <c r="B36" s="11">
        <f>AVERAGE(D29:D33)</f>
        <v/>
      </c>
    </row>
    <row r="37">
      <c r="A37" s="6" t="inlineStr">
        <is>
          <t>n (kriter sayısı)</t>
        </is>
      </c>
      <c r="B37" s="9" t="n">
        <v>5</v>
      </c>
    </row>
    <row r="38">
      <c r="A38" s="6" t="inlineStr">
        <is>
          <t>CI = (λ_max - n) / (n - 1)</t>
        </is>
      </c>
      <c r="B38" s="11">
        <f>(B36-B37)/(B37-1)</f>
        <v/>
      </c>
    </row>
    <row r="39">
      <c r="A39" s="6" t="inlineStr">
        <is>
          <t>RI (n=5)</t>
        </is>
      </c>
      <c r="B39" s="11" t="n">
        <v>1.11</v>
      </c>
    </row>
    <row r="40">
      <c r="A40" s="6" t="inlineStr">
        <is>
          <t>CR = CI / RI</t>
        </is>
      </c>
      <c r="B40" s="11">
        <f>B38/B39</f>
        <v/>
      </c>
    </row>
    <row r="41">
      <c r="A41" s="6" t="inlineStr">
        <is>
          <t>Tutarlılık Eşiği</t>
        </is>
      </c>
      <c r="B41" s="9" t="n">
        <v>0.1</v>
      </c>
    </row>
    <row r="42">
      <c r="A42" s="6" t="inlineStr">
        <is>
          <t>Durum</t>
        </is>
      </c>
      <c r="B42" s="12">
        <f>IF(B40&lt;=B41,"Tutarlı","Tutarsız")</f>
        <v/>
      </c>
    </row>
  </sheetData>
  <mergeCells count="4">
    <mergeCell ref="A20:F20"/>
    <mergeCell ref="A11:F11"/>
    <mergeCell ref="A3:B3"/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KATILIMCI 25 - AHP ANALİZİ</t>
        </is>
      </c>
    </row>
    <row r="3">
      <c r="A3" s="6" t="inlineStr">
        <is>
          <t>Demografik Bilgiler</t>
        </is>
      </c>
      <c r="B3" s="7" t="n"/>
    </row>
    <row r="4">
      <c r="A4" s="8" t="inlineStr">
        <is>
          <t>Cinsiyet</t>
        </is>
      </c>
      <c r="B4" s="9">
        <f>Anket_Yanitlari!B26</f>
        <v/>
      </c>
    </row>
    <row r="5">
      <c r="A5" s="8" t="inlineStr">
        <is>
          <t>Yaş</t>
        </is>
      </c>
      <c r="B5" s="9">
        <f>Anket_Yanitlari!C26</f>
        <v/>
      </c>
    </row>
    <row r="6">
      <c r="A6" s="8" t="inlineStr">
        <is>
          <t>Eğitim</t>
        </is>
      </c>
      <c r="B6" s="9">
        <f>Anket_Yanitlari!D26</f>
        <v/>
      </c>
    </row>
    <row r="7">
      <c r="A7" s="8" t="inlineStr">
        <is>
          <t>Meslek</t>
        </is>
      </c>
      <c r="B7" s="9">
        <f>Anket_Yanitlari!E26</f>
        <v/>
      </c>
    </row>
    <row r="8">
      <c r="A8" s="8" t="inlineStr">
        <is>
          <t>Alışveriş Sıklığı</t>
        </is>
      </c>
      <c r="B8" s="9">
        <f>Anket_Yanitlari!F26</f>
        <v/>
      </c>
    </row>
    <row r="9">
      <c r="A9" s="8" t="inlineStr">
        <is>
          <t>Cihaz</t>
        </is>
      </c>
      <c r="B9" s="9">
        <f>Anket_Yanitlari!G26</f>
        <v/>
      </c>
    </row>
    <row r="11">
      <c r="A11" s="6" t="inlineStr">
        <is>
          <t>İkili Karşılaştırma Matrisi (A)</t>
        </is>
      </c>
      <c r="B11" s="10" t="n"/>
      <c r="C11" s="10" t="n"/>
      <c r="D11" s="10" t="n"/>
      <c r="E11" s="10" t="n"/>
      <c r="F11" s="7" t="n"/>
    </row>
    <row r="12">
      <c r="B12" s="6" t="inlineStr">
        <is>
          <t>Ödeme</t>
        </is>
      </c>
      <c r="C12" s="6" t="inlineStr">
        <is>
          <t>Kullanıcı Deneyimi</t>
        </is>
      </c>
      <c r="D12" s="6" t="inlineStr">
        <is>
          <t>Kargo</t>
        </is>
      </c>
      <c r="E12" s="6" t="inlineStr">
        <is>
          <t>Müşteri Yorumları</t>
        </is>
      </c>
      <c r="F12" s="6" t="inlineStr">
        <is>
          <t>Fiyatlandırma</t>
        </is>
      </c>
    </row>
    <row r="13">
      <c r="A13" s="6" t="inlineStr">
        <is>
          <t>Ödeme</t>
        </is>
      </c>
      <c r="B13" s="11" t="n">
        <v>1</v>
      </c>
      <c r="C13" s="11">
        <f>Anket_Yanitlari!H26</f>
        <v/>
      </c>
      <c r="D13" s="11">
        <f>Anket_Yanitlari!I26</f>
        <v/>
      </c>
      <c r="E13" s="11">
        <f>Anket_Yanitlari!J26</f>
        <v/>
      </c>
      <c r="F13" s="11">
        <f>Anket_Yanitlari!K26</f>
        <v/>
      </c>
    </row>
    <row r="14">
      <c r="A14" s="6" t="inlineStr">
        <is>
          <t>Kullanıcı Deneyimi</t>
        </is>
      </c>
      <c r="B14" s="11">
        <f>1/C13</f>
        <v/>
      </c>
      <c r="C14" s="11" t="n">
        <v>1</v>
      </c>
      <c r="D14" s="11">
        <f>Anket_Yanitlari!L26</f>
        <v/>
      </c>
      <c r="E14" s="11">
        <f>Anket_Yanitlari!M26</f>
        <v/>
      </c>
      <c r="F14" s="11">
        <f>Anket_Yanitlari!N26</f>
        <v/>
      </c>
    </row>
    <row r="15">
      <c r="A15" s="6" t="inlineStr">
        <is>
          <t>Kargo</t>
        </is>
      </c>
      <c r="B15" s="11">
        <f>1/D13</f>
        <v/>
      </c>
      <c r="C15" s="11">
        <f>1/D14</f>
        <v/>
      </c>
      <c r="D15" s="11" t="n">
        <v>1</v>
      </c>
      <c r="E15" s="11">
        <f>Anket_Yanitlari!O26</f>
        <v/>
      </c>
      <c r="F15" s="11">
        <f>Anket_Yanitlari!P26</f>
        <v/>
      </c>
    </row>
    <row r="16">
      <c r="A16" s="6" t="inlineStr">
        <is>
          <t>Müşteri Yorumları</t>
        </is>
      </c>
      <c r="B16" s="11">
        <f>1/E13</f>
        <v/>
      </c>
      <c r="C16" s="11">
        <f>1/E14</f>
        <v/>
      </c>
      <c r="D16" s="11">
        <f>1/E15</f>
        <v/>
      </c>
      <c r="E16" s="11" t="n">
        <v>1</v>
      </c>
      <c r="F16" s="11">
        <f>Anket_Yanitlari!Q26</f>
        <v/>
      </c>
    </row>
    <row r="17">
      <c r="A17" s="6" t="inlineStr">
        <is>
          <t>Fiyatlandırma</t>
        </is>
      </c>
      <c r="B17" s="11">
        <f>1/F13</f>
        <v/>
      </c>
      <c r="C17" s="11">
        <f>1/F14</f>
        <v/>
      </c>
      <c r="D17" s="11">
        <f>1/F15</f>
        <v/>
      </c>
      <c r="E17" s="11">
        <f>1/F16</f>
        <v/>
      </c>
      <c r="F17" s="11" t="n">
        <v>1</v>
      </c>
    </row>
    <row r="18">
      <c r="A18" s="6" t="inlineStr">
        <is>
          <t>Sütun Toplamı</t>
        </is>
      </c>
      <c r="B18" s="11">
        <f>SUM(B13:B17)</f>
        <v/>
      </c>
      <c r="C18" s="11">
        <f>SUM(C13:C17)</f>
        <v/>
      </c>
      <c r="D18" s="11">
        <f>SUM(D13:D17)</f>
        <v/>
      </c>
      <c r="E18" s="11">
        <f>SUM(E13:E17)</f>
        <v/>
      </c>
      <c r="F18" s="11">
        <f>SUM(F13:F17)</f>
        <v/>
      </c>
    </row>
    <row r="20">
      <c r="A20" s="6" t="inlineStr">
        <is>
          <t>Normalize Matris (N)</t>
        </is>
      </c>
      <c r="B20" s="10" t="n"/>
      <c r="C20" s="10" t="n"/>
      <c r="D20" s="10" t="n"/>
      <c r="E20" s="10" t="n"/>
      <c r="F20" s="7" t="n"/>
    </row>
    <row r="21">
      <c r="B21" s="6" t="inlineStr">
        <is>
          <t>Ödeme</t>
        </is>
      </c>
      <c r="C21" s="6" t="inlineStr">
        <is>
          <t>Kullanıcı Deneyimi</t>
        </is>
      </c>
      <c r="D21" s="6" t="inlineStr">
        <is>
          <t>Kargo</t>
        </is>
      </c>
      <c r="E21" s="6" t="inlineStr">
        <is>
          <t>Müşteri Yorumları</t>
        </is>
      </c>
      <c r="F21" s="6" t="inlineStr">
        <is>
          <t>Fiyatlandırma</t>
        </is>
      </c>
    </row>
    <row r="22">
      <c r="A22" s="6" t="inlineStr">
        <is>
          <t>Ödeme</t>
        </is>
      </c>
      <c r="B22" s="11">
        <f>B13/B18</f>
        <v/>
      </c>
      <c r="C22" s="11">
        <f>C13/C18</f>
        <v/>
      </c>
      <c r="D22" s="11">
        <f>D13/D18</f>
        <v/>
      </c>
      <c r="E22" s="11">
        <f>E13/E18</f>
        <v/>
      </c>
      <c r="F22" s="11">
        <f>F13/F18</f>
        <v/>
      </c>
    </row>
    <row r="23">
      <c r="A23" s="6" t="inlineStr">
        <is>
          <t>Kullanıcı Deneyimi</t>
        </is>
      </c>
      <c r="B23" s="11">
        <f>B14/B18</f>
        <v/>
      </c>
      <c r="C23" s="11">
        <f>C14/C18</f>
        <v/>
      </c>
      <c r="D23" s="11">
        <f>D14/D18</f>
        <v/>
      </c>
      <c r="E23" s="11">
        <f>E14/E18</f>
        <v/>
      </c>
      <c r="F23" s="11">
        <f>F14/F18</f>
        <v/>
      </c>
    </row>
    <row r="24">
      <c r="A24" s="6" t="inlineStr">
        <is>
          <t>Kargo</t>
        </is>
      </c>
      <c r="B24" s="11">
        <f>B15/B18</f>
        <v/>
      </c>
      <c r="C24" s="11">
        <f>C15/C18</f>
        <v/>
      </c>
      <c r="D24" s="11">
        <f>D15/D18</f>
        <v/>
      </c>
      <c r="E24" s="11">
        <f>E15/E18</f>
        <v/>
      </c>
      <c r="F24" s="11">
        <f>F15/F18</f>
        <v/>
      </c>
    </row>
    <row r="25">
      <c r="A25" s="6" t="inlineStr">
        <is>
          <t>Müşteri Yorumları</t>
        </is>
      </c>
      <c r="B25" s="11">
        <f>B16/B18</f>
        <v/>
      </c>
      <c r="C25" s="11">
        <f>C16/C18</f>
        <v/>
      </c>
      <c r="D25" s="11">
        <f>D16/D18</f>
        <v/>
      </c>
      <c r="E25" s="11">
        <f>E16/E18</f>
        <v/>
      </c>
      <c r="F25" s="11">
        <f>F16/F18</f>
        <v/>
      </c>
    </row>
    <row r="26">
      <c r="A26" s="6" t="inlineStr">
        <is>
          <t>Fiyatlandırma</t>
        </is>
      </c>
      <c r="B26" s="11">
        <f>B17/B18</f>
        <v/>
      </c>
      <c r="C26" s="11">
        <f>C17/C18</f>
        <v/>
      </c>
      <c r="D26" s="11">
        <f>D17/D18</f>
        <v/>
      </c>
      <c r="E26" s="11">
        <f>E17/E18</f>
        <v/>
      </c>
      <c r="F26" s="11">
        <f>F17/F18</f>
        <v/>
      </c>
    </row>
    <row r="28">
      <c r="A28" s="6" t="inlineStr">
        <is>
          <t>Kriter</t>
        </is>
      </c>
      <c r="B28" s="6" t="inlineStr">
        <is>
          <t>ÖZV (w)</t>
        </is>
      </c>
      <c r="C28" s="6" t="inlineStr">
        <is>
          <t>A·w</t>
        </is>
      </c>
      <c r="D28" s="6" t="inlineStr">
        <is>
          <t>A·w / w</t>
        </is>
      </c>
    </row>
    <row r="29">
      <c r="A29" s="6" t="inlineStr">
        <is>
          <t>Ödeme</t>
        </is>
      </c>
      <c r="B29" s="11">
        <f>AVERAGE(B22:F22)</f>
        <v/>
      </c>
      <c r="C29" s="11">
        <f>B13*$B$29+C13*$B$30+D13*$B$31+E13*$B$32+F13*$B$33</f>
        <v/>
      </c>
      <c r="D29" s="11">
        <f>C29/B29</f>
        <v/>
      </c>
    </row>
    <row r="30">
      <c r="A30" s="6" t="inlineStr">
        <is>
          <t>Kullanıcı Deneyimi</t>
        </is>
      </c>
      <c r="B30" s="11">
        <f>AVERAGE(B23:F23)</f>
        <v/>
      </c>
      <c r="C30" s="11">
        <f>B14*$B$29+C14*$B$30+D14*$B$31+E14*$B$32+F14*$B$33</f>
        <v/>
      </c>
      <c r="D30" s="11">
        <f>C30/B30</f>
        <v/>
      </c>
    </row>
    <row r="31">
      <c r="A31" s="6" t="inlineStr">
        <is>
          <t>Kargo</t>
        </is>
      </c>
      <c r="B31" s="11">
        <f>AVERAGE(B24:F24)</f>
        <v/>
      </c>
      <c r="C31" s="11">
        <f>B15*$B$29+C15*$B$30+D15*$B$31+E15*$B$32+F15*$B$33</f>
        <v/>
      </c>
      <c r="D31" s="11">
        <f>C31/B31</f>
        <v/>
      </c>
    </row>
    <row r="32">
      <c r="A32" s="6" t="inlineStr">
        <is>
          <t>Müşteri Yorumları</t>
        </is>
      </c>
      <c r="B32" s="11">
        <f>AVERAGE(B25:F25)</f>
        <v/>
      </c>
      <c r="C32" s="11">
        <f>B16*$B$29+C16*$B$30+D16*$B$31+E16*$B$32+F16*$B$33</f>
        <v/>
      </c>
      <c r="D32" s="11">
        <f>C32/B32</f>
        <v/>
      </c>
    </row>
    <row r="33">
      <c r="A33" s="6" t="inlineStr">
        <is>
          <t>Fiyatlandırma</t>
        </is>
      </c>
      <c r="B33" s="11">
        <f>AVERAGE(B26:F26)</f>
        <v/>
      </c>
      <c r="C33" s="11">
        <f>B17*$B$29+C17*$B$30+D17*$B$31+E17*$B$32+F17*$B$33</f>
        <v/>
      </c>
      <c r="D33" s="11">
        <f>C33/B33</f>
        <v/>
      </c>
    </row>
    <row r="34">
      <c r="A34" s="6" t="inlineStr">
        <is>
          <t>Toplam</t>
        </is>
      </c>
      <c r="B34" s="11">
        <f>SUM(B29:B33)</f>
        <v/>
      </c>
    </row>
    <row r="36">
      <c r="A36" s="6" t="inlineStr">
        <is>
          <t>λ_max (ENBÖZD)</t>
        </is>
      </c>
      <c r="B36" s="11">
        <f>AVERAGE(D29:D33)</f>
        <v/>
      </c>
    </row>
    <row r="37">
      <c r="A37" s="6" t="inlineStr">
        <is>
          <t>n (kriter sayısı)</t>
        </is>
      </c>
      <c r="B37" s="9" t="n">
        <v>5</v>
      </c>
    </row>
    <row r="38">
      <c r="A38" s="6" t="inlineStr">
        <is>
          <t>CI = (λ_max - n) / (n - 1)</t>
        </is>
      </c>
      <c r="B38" s="11">
        <f>(B36-B37)/(B37-1)</f>
        <v/>
      </c>
    </row>
    <row r="39">
      <c r="A39" s="6" t="inlineStr">
        <is>
          <t>RI (n=5)</t>
        </is>
      </c>
      <c r="B39" s="11" t="n">
        <v>1.11</v>
      </c>
    </row>
    <row r="40">
      <c r="A40" s="6" t="inlineStr">
        <is>
          <t>CR = CI / RI</t>
        </is>
      </c>
      <c r="B40" s="11">
        <f>B38/B39</f>
        <v/>
      </c>
    </row>
    <row r="41">
      <c r="A41" s="6" t="inlineStr">
        <is>
          <t>Tutarlılık Eşiği</t>
        </is>
      </c>
      <c r="B41" s="9" t="n">
        <v>0.1</v>
      </c>
    </row>
    <row r="42">
      <c r="A42" s="6" t="inlineStr">
        <is>
          <t>Durum</t>
        </is>
      </c>
      <c r="B42" s="12">
        <f>IF(B40&lt;=B41,"Tutarlı","Tutarsız")</f>
        <v/>
      </c>
    </row>
  </sheetData>
  <mergeCells count="4">
    <mergeCell ref="A20:F20"/>
    <mergeCell ref="A11:F11"/>
    <mergeCell ref="A3:B3"/>
    <mergeCell ref="A1:H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KATILIMCI 26 - AHP ANALİZİ</t>
        </is>
      </c>
    </row>
    <row r="3">
      <c r="A3" s="6" t="inlineStr">
        <is>
          <t>Demografik Bilgiler</t>
        </is>
      </c>
      <c r="B3" s="7" t="n"/>
    </row>
    <row r="4">
      <c r="A4" s="8" t="inlineStr">
        <is>
          <t>Cinsiyet</t>
        </is>
      </c>
      <c r="B4" s="9">
        <f>Anket_Yanitlari!B27</f>
        <v/>
      </c>
    </row>
    <row r="5">
      <c r="A5" s="8" t="inlineStr">
        <is>
          <t>Yaş</t>
        </is>
      </c>
      <c r="B5" s="9">
        <f>Anket_Yanitlari!C27</f>
        <v/>
      </c>
    </row>
    <row r="6">
      <c r="A6" s="8" t="inlineStr">
        <is>
          <t>Eğitim</t>
        </is>
      </c>
      <c r="B6" s="9">
        <f>Anket_Yanitlari!D27</f>
        <v/>
      </c>
    </row>
    <row r="7">
      <c r="A7" s="8" t="inlineStr">
        <is>
          <t>Meslek</t>
        </is>
      </c>
      <c r="B7" s="9">
        <f>Anket_Yanitlari!E27</f>
        <v/>
      </c>
    </row>
    <row r="8">
      <c r="A8" s="8" t="inlineStr">
        <is>
          <t>Alışveriş Sıklığı</t>
        </is>
      </c>
      <c r="B8" s="9">
        <f>Anket_Yanitlari!F27</f>
        <v/>
      </c>
    </row>
    <row r="9">
      <c r="A9" s="8" t="inlineStr">
        <is>
          <t>Cihaz</t>
        </is>
      </c>
      <c r="B9" s="9">
        <f>Anket_Yanitlari!G27</f>
        <v/>
      </c>
    </row>
    <row r="11">
      <c r="A11" s="6" t="inlineStr">
        <is>
          <t>İkili Karşılaştırma Matrisi (A)</t>
        </is>
      </c>
      <c r="B11" s="10" t="n"/>
      <c r="C11" s="10" t="n"/>
      <c r="D11" s="10" t="n"/>
      <c r="E11" s="10" t="n"/>
      <c r="F11" s="7" t="n"/>
    </row>
    <row r="12">
      <c r="B12" s="6" t="inlineStr">
        <is>
          <t>Ödeme</t>
        </is>
      </c>
      <c r="C12" s="6" t="inlineStr">
        <is>
          <t>Kullanıcı Deneyimi</t>
        </is>
      </c>
      <c r="D12" s="6" t="inlineStr">
        <is>
          <t>Kargo</t>
        </is>
      </c>
      <c r="E12" s="6" t="inlineStr">
        <is>
          <t>Müşteri Yorumları</t>
        </is>
      </c>
      <c r="F12" s="6" t="inlineStr">
        <is>
          <t>Fiyatlandırma</t>
        </is>
      </c>
    </row>
    <row r="13">
      <c r="A13" s="6" t="inlineStr">
        <is>
          <t>Ödeme</t>
        </is>
      </c>
      <c r="B13" s="11" t="n">
        <v>1</v>
      </c>
      <c r="C13" s="11">
        <f>Anket_Yanitlari!H27</f>
        <v/>
      </c>
      <c r="D13" s="11">
        <f>Anket_Yanitlari!I27</f>
        <v/>
      </c>
      <c r="E13" s="11">
        <f>Anket_Yanitlari!J27</f>
        <v/>
      </c>
      <c r="F13" s="11">
        <f>Anket_Yanitlari!K27</f>
        <v/>
      </c>
    </row>
    <row r="14">
      <c r="A14" s="6" t="inlineStr">
        <is>
          <t>Kullanıcı Deneyimi</t>
        </is>
      </c>
      <c r="B14" s="11">
        <f>1/C13</f>
        <v/>
      </c>
      <c r="C14" s="11" t="n">
        <v>1</v>
      </c>
      <c r="D14" s="11">
        <f>Anket_Yanitlari!L27</f>
        <v/>
      </c>
      <c r="E14" s="11">
        <f>Anket_Yanitlari!M27</f>
        <v/>
      </c>
      <c r="F14" s="11">
        <f>Anket_Yanitlari!N27</f>
        <v/>
      </c>
    </row>
    <row r="15">
      <c r="A15" s="6" t="inlineStr">
        <is>
          <t>Kargo</t>
        </is>
      </c>
      <c r="B15" s="11">
        <f>1/D13</f>
        <v/>
      </c>
      <c r="C15" s="11">
        <f>1/D14</f>
        <v/>
      </c>
      <c r="D15" s="11" t="n">
        <v>1</v>
      </c>
      <c r="E15" s="11">
        <f>Anket_Yanitlari!O27</f>
        <v/>
      </c>
      <c r="F15" s="11">
        <f>Anket_Yanitlari!P27</f>
        <v/>
      </c>
    </row>
    <row r="16">
      <c r="A16" s="6" t="inlineStr">
        <is>
          <t>Müşteri Yorumları</t>
        </is>
      </c>
      <c r="B16" s="11">
        <f>1/E13</f>
        <v/>
      </c>
      <c r="C16" s="11">
        <f>1/E14</f>
        <v/>
      </c>
      <c r="D16" s="11">
        <f>1/E15</f>
        <v/>
      </c>
      <c r="E16" s="11" t="n">
        <v>1</v>
      </c>
      <c r="F16" s="11">
        <f>Anket_Yanitlari!Q27</f>
        <v/>
      </c>
    </row>
    <row r="17">
      <c r="A17" s="6" t="inlineStr">
        <is>
          <t>Fiyatlandırma</t>
        </is>
      </c>
      <c r="B17" s="11">
        <f>1/F13</f>
        <v/>
      </c>
      <c r="C17" s="11">
        <f>1/F14</f>
        <v/>
      </c>
      <c r="D17" s="11">
        <f>1/F15</f>
        <v/>
      </c>
      <c r="E17" s="11">
        <f>1/F16</f>
        <v/>
      </c>
      <c r="F17" s="11" t="n">
        <v>1</v>
      </c>
    </row>
    <row r="18">
      <c r="A18" s="6" t="inlineStr">
        <is>
          <t>Sütun Toplamı</t>
        </is>
      </c>
      <c r="B18" s="11">
        <f>SUM(B13:B17)</f>
        <v/>
      </c>
      <c r="C18" s="11">
        <f>SUM(C13:C17)</f>
        <v/>
      </c>
      <c r="D18" s="11">
        <f>SUM(D13:D17)</f>
        <v/>
      </c>
      <c r="E18" s="11">
        <f>SUM(E13:E17)</f>
        <v/>
      </c>
      <c r="F18" s="11">
        <f>SUM(F13:F17)</f>
        <v/>
      </c>
    </row>
    <row r="20">
      <c r="A20" s="6" t="inlineStr">
        <is>
          <t>Normalize Matris (N)</t>
        </is>
      </c>
      <c r="B20" s="10" t="n"/>
      <c r="C20" s="10" t="n"/>
      <c r="D20" s="10" t="n"/>
      <c r="E20" s="10" t="n"/>
      <c r="F20" s="7" t="n"/>
    </row>
    <row r="21">
      <c r="B21" s="6" t="inlineStr">
        <is>
          <t>Ödeme</t>
        </is>
      </c>
      <c r="C21" s="6" t="inlineStr">
        <is>
          <t>Kullanıcı Deneyimi</t>
        </is>
      </c>
      <c r="D21" s="6" t="inlineStr">
        <is>
          <t>Kargo</t>
        </is>
      </c>
      <c r="E21" s="6" t="inlineStr">
        <is>
          <t>Müşteri Yorumları</t>
        </is>
      </c>
      <c r="F21" s="6" t="inlineStr">
        <is>
          <t>Fiyatlandırma</t>
        </is>
      </c>
    </row>
    <row r="22">
      <c r="A22" s="6" t="inlineStr">
        <is>
          <t>Ödeme</t>
        </is>
      </c>
      <c r="B22" s="11">
        <f>B13/B18</f>
        <v/>
      </c>
      <c r="C22" s="11">
        <f>C13/C18</f>
        <v/>
      </c>
      <c r="D22" s="11">
        <f>D13/D18</f>
        <v/>
      </c>
      <c r="E22" s="11">
        <f>E13/E18</f>
        <v/>
      </c>
      <c r="F22" s="11">
        <f>F13/F18</f>
        <v/>
      </c>
    </row>
    <row r="23">
      <c r="A23" s="6" t="inlineStr">
        <is>
          <t>Kullanıcı Deneyimi</t>
        </is>
      </c>
      <c r="B23" s="11">
        <f>B14/B18</f>
        <v/>
      </c>
      <c r="C23" s="11">
        <f>C14/C18</f>
        <v/>
      </c>
      <c r="D23" s="11">
        <f>D14/D18</f>
        <v/>
      </c>
      <c r="E23" s="11">
        <f>E14/E18</f>
        <v/>
      </c>
      <c r="F23" s="11">
        <f>F14/F18</f>
        <v/>
      </c>
    </row>
    <row r="24">
      <c r="A24" s="6" t="inlineStr">
        <is>
          <t>Kargo</t>
        </is>
      </c>
      <c r="B24" s="11">
        <f>B15/B18</f>
        <v/>
      </c>
      <c r="C24" s="11">
        <f>C15/C18</f>
        <v/>
      </c>
      <c r="D24" s="11">
        <f>D15/D18</f>
        <v/>
      </c>
      <c r="E24" s="11">
        <f>E15/E18</f>
        <v/>
      </c>
      <c r="F24" s="11">
        <f>F15/F18</f>
        <v/>
      </c>
    </row>
    <row r="25">
      <c r="A25" s="6" t="inlineStr">
        <is>
          <t>Müşteri Yorumları</t>
        </is>
      </c>
      <c r="B25" s="11">
        <f>B16/B18</f>
        <v/>
      </c>
      <c r="C25" s="11">
        <f>C16/C18</f>
        <v/>
      </c>
      <c r="D25" s="11">
        <f>D16/D18</f>
        <v/>
      </c>
      <c r="E25" s="11">
        <f>E16/E18</f>
        <v/>
      </c>
      <c r="F25" s="11">
        <f>F16/F18</f>
        <v/>
      </c>
    </row>
    <row r="26">
      <c r="A26" s="6" t="inlineStr">
        <is>
          <t>Fiyatlandırma</t>
        </is>
      </c>
      <c r="B26" s="11">
        <f>B17/B18</f>
        <v/>
      </c>
      <c r="C26" s="11">
        <f>C17/C18</f>
        <v/>
      </c>
      <c r="D26" s="11">
        <f>D17/D18</f>
        <v/>
      </c>
      <c r="E26" s="11">
        <f>E17/E18</f>
        <v/>
      </c>
      <c r="F26" s="11">
        <f>F17/F18</f>
        <v/>
      </c>
    </row>
    <row r="28">
      <c r="A28" s="6" t="inlineStr">
        <is>
          <t>Kriter</t>
        </is>
      </c>
      <c r="B28" s="6" t="inlineStr">
        <is>
          <t>ÖZV (w)</t>
        </is>
      </c>
      <c r="C28" s="6" t="inlineStr">
        <is>
          <t>A·w</t>
        </is>
      </c>
      <c r="D28" s="6" t="inlineStr">
        <is>
          <t>A·w / w</t>
        </is>
      </c>
    </row>
    <row r="29">
      <c r="A29" s="6" t="inlineStr">
        <is>
          <t>Ödeme</t>
        </is>
      </c>
      <c r="B29" s="11">
        <f>AVERAGE(B22:F22)</f>
        <v/>
      </c>
      <c r="C29" s="11">
        <f>B13*$B$29+C13*$B$30+D13*$B$31+E13*$B$32+F13*$B$33</f>
        <v/>
      </c>
      <c r="D29" s="11">
        <f>C29/B29</f>
        <v/>
      </c>
    </row>
    <row r="30">
      <c r="A30" s="6" t="inlineStr">
        <is>
          <t>Kullanıcı Deneyimi</t>
        </is>
      </c>
      <c r="B30" s="11">
        <f>AVERAGE(B23:F23)</f>
        <v/>
      </c>
      <c r="C30" s="11">
        <f>B14*$B$29+C14*$B$30+D14*$B$31+E14*$B$32+F14*$B$33</f>
        <v/>
      </c>
      <c r="D30" s="11">
        <f>C30/B30</f>
        <v/>
      </c>
    </row>
    <row r="31">
      <c r="A31" s="6" t="inlineStr">
        <is>
          <t>Kargo</t>
        </is>
      </c>
      <c r="B31" s="11">
        <f>AVERAGE(B24:F24)</f>
        <v/>
      </c>
      <c r="C31" s="11">
        <f>B15*$B$29+C15*$B$30+D15*$B$31+E15*$B$32+F15*$B$33</f>
        <v/>
      </c>
      <c r="D31" s="11">
        <f>C31/B31</f>
        <v/>
      </c>
    </row>
    <row r="32">
      <c r="A32" s="6" t="inlineStr">
        <is>
          <t>Müşteri Yorumları</t>
        </is>
      </c>
      <c r="B32" s="11">
        <f>AVERAGE(B25:F25)</f>
        <v/>
      </c>
      <c r="C32" s="11">
        <f>B16*$B$29+C16*$B$30+D16*$B$31+E16*$B$32+F16*$B$33</f>
        <v/>
      </c>
      <c r="D32" s="11">
        <f>C32/B32</f>
        <v/>
      </c>
    </row>
    <row r="33">
      <c r="A33" s="6" t="inlineStr">
        <is>
          <t>Fiyatlandırma</t>
        </is>
      </c>
      <c r="B33" s="11">
        <f>AVERAGE(B26:F26)</f>
        <v/>
      </c>
      <c r="C33" s="11">
        <f>B17*$B$29+C17*$B$30+D17*$B$31+E17*$B$32+F17*$B$33</f>
        <v/>
      </c>
      <c r="D33" s="11">
        <f>C33/B33</f>
        <v/>
      </c>
    </row>
    <row r="34">
      <c r="A34" s="6" t="inlineStr">
        <is>
          <t>Toplam</t>
        </is>
      </c>
      <c r="B34" s="11">
        <f>SUM(B29:B33)</f>
        <v/>
      </c>
    </row>
    <row r="36">
      <c r="A36" s="6" t="inlineStr">
        <is>
          <t>λ_max (ENBÖZD)</t>
        </is>
      </c>
      <c r="B36" s="11">
        <f>AVERAGE(D29:D33)</f>
        <v/>
      </c>
    </row>
    <row r="37">
      <c r="A37" s="6" t="inlineStr">
        <is>
          <t>n (kriter sayısı)</t>
        </is>
      </c>
      <c r="B37" s="9" t="n">
        <v>5</v>
      </c>
    </row>
    <row r="38">
      <c r="A38" s="6" t="inlineStr">
        <is>
          <t>CI = (λ_max - n) / (n - 1)</t>
        </is>
      </c>
      <c r="B38" s="11">
        <f>(B36-B37)/(B37-1)</f>
        <v/>
      </c>
    </row>
    <row r="39">
      <c r="A39" s="6" t="inlineStr">
        <is>
          <t>RI (n=5)</t>
        </is>
      </c>
      <c r="B39" s="11" t="n">
        <v>1.11</v>
      </c>
    </row>
    <row r="40">
      <c r="A40" s="6" t="inlineStr">
        <is>
          <t>CR = CI / RI</t>
        </is>
      </c>
      <c r="B40" s="11">
        <f>B38/B39</f>
        <v/>
      </c>
    </row>
    <row r="41">
      <c r="A41" s="6" t="inlineStr">
        <is>
          <t>Tutarlılık Eşiği</t>
        </is>
      </c>
      <c r="B41" s="9" t="n">
        <v>0.1</v>
      </c>
    </row>
    <row r="42">
      <c r="A42" s="6" t="inlineStr">
        <is>
          <t>Durum</t>
        </is>
      </c>
      <c r="B42" s="12">
        <f>IF(B40&lt;=B41,"Tutarlı","Tutarsız")</f>
        <v/>
      </c>
    </row>
  </sheetData>
  <mergeCells count="4">
    <mergeCell ref="A20:F20"/>
    <mergeCell ref="A11:F11"/>
    <mergeCell ref="A3:B3"/>
    <mergeCell ref="A1:H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KATILIMCI 27 - AHP ANALİZİ</t>
        </is>
      </c>
    </row>
    <row r="3">
      <c r="A3" s="6" t="inlineStr">
        <is>
          <t>Demografik Bilgiler</t>
        </is>
      </c>
      <c r="B3" s="7" t="n"/>
    </row>
    <row r="4">
      <c r="A4" s="8" t="inlineStr">
        <is>
          <t>Cinsiyet</t>
        </is>
      </c>
      <c r="B4" s="9">
        <f>Anket_Yanitlari!B28</f>
        <v/>
      </c>
    </row>
    <row r="5">
      <c r="A5" s="8" t="inlineStr">
        <is>
          <t>Yaş</t>
        </is>
      </c>
      <c r="B5" s="9">
        <f>Anket_Yanitlari!C28</f>
        <v/>
      </c>
    </row>
    <row r="6">
      <c r="A6" s="8" t="inlineStr">
        <is>
          <t>Eğitim</t>
        </is>
      </c>
      <c r="B6" s="9">
        <f>Anket_Yanitlari!D28</f>
        <v/>
      </c>
    </row>
    <row r="7">
      <c r="A7" s="8" t="inlineStr">
        <is>
          <t>Meslek</t>
        </is>
      </c>
      <c r="B7" s="9">
        <f>Anket_Yanitlari!E28</f>
        <v/>
      </c>
    </row>
    <row r="8">
      <c r="A8" s="8" t="inlineStr">
        <is>
          <t>Alışveriş Sıklığı</t>
        </is>
      </c>
      <c r="B8" s="9">
        <f>Anket_Yanitlari!F28</f>
        <v/>
      </c>
    </row>
    <row r="9">
      <c r="A9" s="8" t="inlineStr">
        <is>
          <t>Cihaz</t>
        </is>
      </c>
      <c r="B9" s="9">
        <f>Anket_Yanitlari!G28</f>
        <v/>
      </c>
    </row>
    <row r="11">
      <c r="A11" s="6" t="inlineStr">
        <is>
          <t>İkili Karşılaştırma Matrisi (A)</t>
        </is>
      </c>
      <c r="B11" s="10" t="n"/>
      <c r="C11" s="10" t="n"/>
      <c r="D11" s="10" t="n"/>
      <c r="E11" s="10" t="n"/>
      <c r="F11" s="7" t="n"/>
    </row>
    <row r="12">
      <c r="B12" s="6" t="inlineStr">
        <is>
          <t>Ödeme</t>
        </is>
      </c>
      <c r="C12" s="6" t="inlineStr">
        <is>
          <t>Kullanıcı Deneyimi</t>
        </is>
      </c>
      <c r="D12" s="6" t="inlineStr">
        <is>
          <t>Kargo</t>
        </is>
      </c>
      <c r="E12" s="6" t="inlineStr">
        <is>
          <t>Müşteri Yorumları</t>
        </is>
      </c>
      <c r="F12" s="6" t="inlineStr">
        <is>
          <t>Fiyatlandırma</t>
        </is>
      </c>
    </row>
    <row r="13">
      <c r="A13" s="6" t="inlineStr">
        <is>
          <t>Ödeme</t>
        </is>
      </c>
      <c r="B13" s="11" t="n">
        <v>1</v>
      </c>
      <c r="C13" s="11">
        <f>Anket_Yanitlari!H28</f>
        <v/>
      </c>
      <c r="D13" s="11">
        <f>Anket_Yanitlari!I28</f>
        <v/>
      </c>
      <c r="E13" s="11">
        <f>Anket_Yanitlari!J28</f>
        <v/>
      </c>
      <c r="F13" s="11">
        <f>Anket_Yanitlari!K28</f>
        <v/>
      </c>
    </row>
    <row r="14">
      <c r="A14" s="6" t="inlineStr">
        <is>
          <t>Kullanıcı Deneyimi</t>
        </is>
      </c>
      <c r="B14" s="11">
        <f>1/C13</f>
        <v/>
      </c>
      <c r="C14" s="11" t="n">
        <v>1</v>
      </c>
      <c r="D14" s="11">
        <f>Anket_Yanitlari!L28</f>
        <v/>
      </c>
      <c r="E14" s="11">
        <f>Anket_Yanitlari!M28</f>
        <v/>
      </c>
      <c r="F14" s="11">
        <f>Anket_Yanitlari!N28</f>
        <v/>
      </c>
    </row>
    <row r="15">
      <c r="A15" s="6" t="inlineStr">
        <is>
          <t>Kargo</t>
        </is>
      </c>
      <c r="B15" s="11">
        <f>1/D13</f>
        <v/>
      </c>
      <c r="C15" s="11">
        <f>1/D14</f>
        <v/>
      </c>
      <c r="D15" s="11" t="n">
        <v>1</v>
      </c>
      <c r="E15" s="11">
        <f>Anket_Yanitlari!O28</f>
        <v/>
      </c>
      <c r="F15" s="11">
        <f>Anket_Yanitlari!P28</f>
        <v/>
      </c>
    </row>
    <row r="16">
      <c r="A16" s="6" t="inlineStr">
        <is>
          <t>Müşteri Yorumları</t>
        </is>
      </c>
      <c r="B16" s="11">
        <f>1/E13</f>
        <v/>
      </c>
      <c r="C16" s="11">
        <f>1/E14</f>
        <v/>
      </c>
      <c r="D16" s="11">
        <f>1/E15</f>
        <v/>
      </c>
      <c r="E16" s="11" t="n">
        <v>1</v>
      </c>
      <c r="F16" s="11">
        <f>Anket_Yanitlari!Q28</f>
        <v/>
      </c>
    </row>
    <row r="17">
      <c r="A17" s="6" t="inlineStr">
        <is>
          <t>Fiyatlandırma</t>
        </is>
      </c>
      <c r="B17" s="11">
        <f>1/F13</f>
        <v/>
      </c>
      <c r="C17" s="11">
        <f>1/F14</f>
        <v/>
      </c>
      <c r="D17" s="11">
        <f>1/F15</f>
        <v/>
      </c>
      <c r="E17" s="11">
        <f>1/F16</f>
        <v/>
      </c>
      <c r="F17" s="11" t="n">
        <v>1</v>
      </c>
    </row>
    <row r="18">
      <c r="A18" s="6" t="inlineStr">
        <is>
          <t>Sütun Toplamı</t>
        </is>
      </c>
      <c r="B18" s="11">
        <f>SUM(B13:B17)</f>
        <v/>
      </c>
      <c r="C18" s="11">
        <f>SUM(C13:C17)</f>
        <v/>
      </c>
      <c r="D18" s="11">
        <f>SUM(D13:D17)</f>
        <v/>
      </c>
      <c r="E18" s="11">
        <f>SUM(E13:E17)</f>
        <v/>
      </c>
      <c r="F18" s="11">
        <f>SUM(F13:F17)</f>
        <v/>
      </c>
    </row>
    <row r="20">
      <c r="A20" s="6" t="inlineStr">
        <is>
          <t>Normalize Matris (N)</t>
        </is>
      </c>
      <c r="B20" s="10" t="n"/>
      <c r="C20" s="10" t="n"/>
      <c r="D20" s="10" t="n"/>
      <c r="E20" s="10" t="n"/>
      <c r="F20" s="7" t="n"/>
    </row>
    <row r="21">
      <c r="B21" s="6" t="inlineStr">
        <is>
          <t>Ödeme</t>
        </is>
      </c>
      <c r="C21" s="6" t="inlineStr">
        <is>
          <t>Kullanıcı Deneyimi</t>
        </is>
      </c>
      <c r="D21" s="6" t="inlineStr">
        <is>
          <t>Kargo</t>
        </is>
      </c>
      <c r="E21" s="6" t="inlineStr">
        <is>
          <t>Müşteri Yorumları</t>
        </is>
      </c>
      <c r="F21" s="6" t="inlineStr">
        <is>
          <t>Fiyatlandırma</t>
        </is>
      </c>
    </row>
    <row r="22">
      <c r="A22" s="6" t="inlineStr">
        <is>
          <t>Ödeme</t>
        </is>
      </c>
      <c r="B22" s="11">
        <f>B13/B18</f>
        <v/>
      </c>
      <c r="C22" s="11">
        <f>C13/C18</f>
        <v/>
      </c>
      <c r="D22" s="11">
        <f>D13/D18</f>
        <v/>
      </c>
      <c r="E22" s="11">
        <f>E13/E18</f>
        <v/>
      </c>
      <c r="F22" s="11">
        <f>F13/F18</f>
        <v/>
      </c>
    </row>
    <row r="23">
      <c r="A23" s="6" t="inlineStr">
        <is>
          <t>Kullanıcı Deneyimi</t>
        </is>
      </c>
      <c r="B23" s="11">
        <f>B14/B18</f>
        <v/>
      </c>
      <c r="C23" s="11">
        <f>C14/C18</f>
        <v/>
      </c>
      <c r="D23" s="11">
        <f>D14/D18</f>
        <v/>
      </c>
      <c r="E23" s="11">
        <f>E14/E18</f>
        <v/>
      </c>
      <c r="F23" s="11">
        <f>F14/F18</f>
        <v/>
      </c>
    </row>
    <row r="24">
      <c r="A24" s="6" t="inlineStr">
        <is>
          <t>Kargo</t>
        </is>
      </c>
      <c r="B24" s="11">
        <f>B15/B18</f>
        <v/>
      </c>
      <c r="C24" s="11">
        <f>C15/C18</f>
        <v/>
      </c>
      <c r="D24" s="11">
        <f>D15/D18</f>
        <v/>
      </c>
      <c r="E24" s="11">
        <f>E15/E18</f>
        <v/>
      </c>
      <c r="F24" s="11">
        <f>F15/F18</f>
        <v/>
      </c>
    </row>
    <row r="25">
      <c r="A25" s="6" t="inlineStr">
        <is>
          <t>Müşteri Yorumları</t>
        </is>
      </c>
      <c r="B25" s="11">
        <f>B16/B18</f>
        <v/>
      </c>
      <c r="C25" s="11">
        <f>C16/C18</f>
        <v/>
      </c>
      <c r="D25" s="11">
        <f>D16/D18</f>
        <v/>
      </c>
      <c r="E25" s="11">
        <f>E16/E18</f>
        <v/>
      </c>
      <c r="F25" s="11">
        <f>F16/F18</f>
        <v/>
      </c>
    </row>
    <row r="26">
      <c r="A26" s="6" t="inlineStr">
        <is>
          <t>Fiyatlandırma</t>
        </is>
      </c>
      <c r="B26" s="11">
        <f>B17/B18</f>
        <v/>
      </c>
      <c r="C26" s="11">
        <f>C17/C18</f>
        <v/>
      </c>
      <c r="D26" s="11">
        <f>D17/D18</f>
        <v/>
      </c>
      <c r="E26" s="11">
        <f>E17/E18</f>
        <v/>
      </c>
      <c r="F26" s="11">
        <f>F17/F18</f>
        <v/>
      </c>
    </row>
    <row r="28">
      <c r="A28" s="6" t="inlineStr">
        <is>
          <t>Kriter</t>
        </is>
      </c>
      <c r="B28" s="6" t="inlineStr">
        <is>
          <t>ÖZV (w)</t>
        </is>
      </c>
      <c r="C28" s="6" t="inlineStr">
        <is>
          <t>A·w</t>
        </is>
      </c>
      <c r="D28" s="6" t="inlineStr">
        <is>
          <t>A·w / w</t>
        </is>
      </c>
    </row>
    <row r="29">
      <c r="A29" s="6" t="inlineStr">
        <is>
          <t>Ödeme</t>
        </is>
      </c>
      <c r="B29" s="11">
        <f>AVERAGE(B22:F22)</f>
        <v/>
      </c>
      <c r="C29" s="11">
        <f>B13*$B$29+C13*$B$30+D13*$B$31+E13*$B$32+F13*$B$33</f>
        <v/>
      </c>
      <c r="D29" s="11">
        <f>C29/B29</f>
        <v/>
      </c>
    </row>
    <row r="30">
      <c r="A30" s="6" t="inlineStr">
        <is>
          <t>Kullanıcı Deneyimi</t>
        </is>
      </c>
      <c r="B30" s="11">
        <f>AVERAGE(B23:F23)</f>
        <v/>
      </c>
      <c r="C30" s="11">
        <f>B14*$B$29+C14*$B$30+D14*$B$31+E14*$B$32+F14*$B$33</f>
        <v/>
      </c>
      <c r="D30" s="11">
        <f>C30/B30</f>
        <v/>
      </c>
    </row>
    <row r="31">
      <c r="A31" s="6" t="inlineStr">
        <is>
          <t>Kargo</t>
        </is>
      </c>
      <c r="B31" s="11">
        <f>AVERAGE(B24:F24)</f>
        <v/>
      </c>
      <c r="C31" s="11">
        <f>B15*$B$29+C15*$B$30+D15*$B$31+E15*$B$32+F15*$B$33</f>
        <v/>
      </c>
      <c r="D31" s="11">
        <f>C31/B31</f>
        <v/>
      </c>
    </row>
    <row r="32">
      <c r="A32" s="6" t="inlineStr">
        <is>
          <t>Müşteri Yorumları</t>
        </is>
      </c>
      <c r="B32" s="11">
        <f>AVERAGE(B25:F25)</f>
        <v/>
      </c>
      <c r="C32" s="11">
        <f>B16*$B$29+C16*$B$30+D16*$B$31+E16*$B$32+F16*$B$33</f>
        <v/>
      </c>
      <c r="D32" s="11">
        <f>C32/B32</f>
        <v/>
      </c>
    </row>
    <row r="33">
      <c r="A33" s="6" t="inlineStr">
        <is>
          <t>Fiyatlandırma</t>
        </is>
      </c>
      <c r="B33" s="11">
        <f>AVERAGE(B26:F26)</f>
        <v/>
      </c>
      <c r="C33" s="11">
        <f>B17*$B$29+C17*$B$30+D17*$B$31+E17*$B$32+F17*$B$33</f>
        <v/>
      </c>
      <c r="D33" s="11">
        <f>C33/B33</f>
        <v/>
      </c>
    </row>
    <row r="34">
      <c r="A34" s="6" t="inlineStr">
        <is>
          <t>Toplam</t>
        </is>
      </c>
      <c r="B34" s="11">
        <f>SUM(B29:B33)</f>
        <v/>
      </c>
    </row>
    <row r="36">
      <c r="A36" s="6" t="inlineStr">
        <is>
          <t>λ_max (ENBÖZD)</t>
        </is>
      </c>
      <c r="B36" s="11">
        <f>AVERAGE(D29:D33)</f>
        <v/>
      </c>
    </row>
    <row r="37">
      <c r="A37" s="6" t="inlineStr">
        <is>
          <t>n (kriter sayısı)</t>
        </is>
      </c>
      <c r="B37" s="9" t="n">
        <v>5</v>
      </c>
    </row>
    <row r="38">
      <c r="A38" s="6" t="inlineStr">
        <is>
          <t>CI = (λ_max - n) / (n - 1)</t>
        </is>
      </c>
      <c r="B38" s="11">
        <f>(B36-B37)/(B37-1)</f>
        <v/>
      </c>
    </row>
    <row r="39">
      <c r="A39" s="6" t="inlineStr">
        <is>
          <t>RI (n=5)</t>
        </is>
      </c>
      <c r="B39" s="11" t="n">
        <v>1.11</v>
      </c>
    </row>
    <row r="40">
      <c r="A40" s="6" t="inlineStr">
        <is>
          <t>CR = CI / RI</t>
        </is>
      </c>
      <c r="B40" s="11">
        <f>B38/B39</f>
        <v/>
      </c>
    </row>
    <row r="41">
      <c r="A41" s="6" t="inlineStr">
        <is>
          <t>Tutarlılık Eşiği</t>
        </is>
      </c>
      <c r="B41" s="9" t="n">
        <v>0.1</v>
      </c>
    </row>
    <row r="42">
      <c r="A42" s="6" t="inlineStr">
        <is>
          <t>Durum</t>
        </is>
      </c>
      <c r="B42" s="12">
        <f>IF(B40&lt;=B41,"Tutarlı","Tutarsız")</f>
        <v/>
      </c>
    </row>
  </sheetData>
  <mergeCells count="4">
    <mergeCell ref="A20:F20"/>
    <mergeCell ref="A11:F11"/>
    <mergeCell ref="A3:B3"/>
    <mergeCell ref="A1:H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KATILIMCI 28 - AHP ANALİZİ</t>
        </is>
      </c>
    </row>
    <row r="3">
      <c r="A3" s="6" t="inlineStr">
        <is>
          <t>Demografik Bilgiler</t>
        </is>
      </c>
      <c r="B3" s="7" t="n"/>
    </row>
    <row r="4">
      <c r="A4" s="8" t="inlineStr">
        <is>
          <t>Cinsiyet</t>
        </is>
      </c>
      <c r="B4" s="9">
        <f>Anket_Yanitlari!B29</f>
        <v/>
      </c>
    </row>
    <row r="5">
      <c r="A5" s="8" t="inlineStr">
        <is>
          <t>Yaş</t>
        </is>
      </c>
      <c r="B5" s="9">
        <f>Anket_Yanitlari!C29</f>
        <v/>
      </c>
    </row>
    <row r="6">
      <c r="A6" s="8" t="inlineStr">
        <is>
          <t>Eğitim</t>
        </is>
      </c>
      <c r="B6" s="9">
        <f>Anket_Yanitlari!D29</f>
        <v/>
      </c>
    </row>
    <row r="7">
      <c r="A7" s="8" t="inlineStr">
        <is>
          <t>Meslek</t>
        </is>
      </c>
      <c r="B7" s="9">
        <f>Anket_Yanitlari!E29</f>
        <v/>
      </c>
    </row>
    <row r="8">
      <c r="A8" s="8" t="inlineStr">
        <is>
          <t>Alışveriş Sıklığı</t>
        </is>
      </c>
      <c r="B8" s="9">
        <f>Anket_Yanitlari!F29</f>
        <v/>
      </c>
    </row>
    <row r="9">
      <c r="A9" s="8" t="inlineStr">
        <is>
          <t>Cihaz</t>
        </is>
      </c>
      <c r="B9" s="9">
        <f>Anket_Yanitlari!G29</f>
        <v/>
      </c>
    </row>
    <row r="11">
      <c r="A11" s="6" t="inlineStr">
        <is>
          <t>İkili Karşılaştırma Matrisi (A)</t>
        </is>
      </c>
      <c r="B11" s="10" t="n"/>
      <c r="C11" s="10" t="n"/>
      <c r="D11" s="10" t="n"/>
      <c r="E11" s="10" t="n"/>
      <c r="F11" s="7" t="n"/>
    </row>
    <row r="12">
      <c r="B12" s="6" t="inlineStr">
        <is>
          <t>Ödeme</t>
        </is>
      </c>
      <c r="C12" s="6" t="inlineStr">
        <is>
          <t>Kullanıcı Deneyimi</t>
        </is>
      </c>
      <c r="D12" s="6" t="inlineStr">
        <is>
          <t>Kargo</t>
        </is>
      </c>
      <c r="E12" s="6" t="inlineStr">
        <is>
          <t>Müşteri Yorumları</t>
        </is>
      </c>
      <c r="F12" s="6" t="inlineStr">
        <is>
          <t>Fiyatlandırma</t>
        </is>
      </c>
    </row>
    <row r="13">
      <c r="A13" s="6" t="inlineStr">
        <is>
          <t>Ödeme</t>
        </is>
      </c>
      <c r="B13" s="11" t="n">
        <v>1</v>
      </c>
      <c r="C13" s="11">
        <f>Anket_Yanitlari!H29</f>
        <v/>
      </c>
      <c r="D13" s="11">
        <f>Anket_Yanitlari!I29</f>
        <v/>
      </c>
      <c r="E13" s="11">
        <f>Anket_Yanitlari!J29</f>
        <v/>
      </c>
      <c r="F13" s="11">
        <f>Anket_Yanitlari!K29</f>
        <v/>
      </c>
    </row>
    <row r="14">
      <c r="A14" s="6" t="inlineStr">
        <is>
          <t>Kullanıcı Deneyimi</t>
        </is>
      </c>
      <c r="B14" s="11">
        <f>1/C13</f>
        <v/>
      </c>
      <c r="C14" s="11" t="n">
        <v>1</v>
      </c>
      <c r="D14" s="11">
        <f>Anket_Yanitlari!L29</f>
        <v/>
      </c>
      <c r="E14" s="11">
        <f>Anket_Yanitlari!M29</f>
        <v/>
      </c>
      <c r="F14" s="11">
        <f>Anket_Yanitlari!N29</f>
        <v/>
      </c>
    </row>
    <row r="15">
      <c r="A15" s="6" t="inlineStr">
        <is>
          <t>Kargo</t>
        </is>
      </c>
      <c r="B15" s="11">
        <f>1/D13</f>
        <v/>
      </c>
      <c r="C15" s="11">
        <f>1/D14</f>
        <v/>
      </c>
      <c r="D15" s="11" t="n">
        <v>1</v>
      </c>
      <c r="E15" s="11">
        <f>Anket_Yanitlari!O29</f>
        <v/>
      </c>
      <c r="F15" s="11">
        <f>Anket_Yanitlari!P29</f>
        <v/>
      </c>
    </row>
    <row r="16">
      <c r="A16" s="6" t="inlineStr">
        <is>
          <t>Müşteri Yorumları</t>
        </is>
      </c>
      <c r="B16" s="11">
        <f>1/E13</f>
        <v/>
      </c>
      <c r="C16" s="11">
        <f>1/E14</f>
        <v/>
      </c>
      <c r="D16" s="11">
        <f>1/E15</f>
        <v/>
      </c>
      <c r="E16" s="11" t="n">
        <v>1</v>
      </c>
      <c r="F16" s="11">
        <f>Anket_Yanitlari!Q29</f>
        <v/>
      </c>
    </row>
    <row r="17">
      <c r="A17" s="6" t="inlineStr">
        <is>
          <t>Fiyatlandırma</t>
        </is>
      </c>
      <c r="B17" s="11">
        <f>1/F13</f>
        <v/>
      </c>
      <c r="C17" s="11">
        <f>1/F14</f>
        <v/>
      </c>
      <c r="D17" s="11">
        <f>1/F15</f>
        <v/>
      </c>
      <c r="E17" s="11">
        <f>1/F16</f>
        <v/>
      </c>
      <c r="F17" s="11" t="n">
        <v>1</v>
      </c>
    </row>
    <row r="18">
      <c r="A18" s="6" t="inlineStr">
        <is>
          <t>Sütun Toplamı</t>
        </is>
      </c>
      <c r="B18" s="11">
        <f>SUM(B13:B17)</f>
        <v/>
      </c>
      <c r="C18" s="11">
        <f>SUM(C13:C17)</f>
        <v/>
      </c>
      <c r="D18" s="11">
        <f>SUM(D13:D17)</f>
        <v/>
      </c>
      <c r="E18" s="11">
        <f>SUM(E13:E17)</f>
        <v/>
      </c>
      <c r="F18" s="11">
        <f>SUM(F13:F17)</f>
        <v/>
      </c>
    </row>
    <row r="20">
      <c r="A20" s="6" t="inlineStr">
        <is>
          <t>Normalize Matris (N)</t>
        </is>
      </c>
      <c r="B20" s="10" t="n"/>
      <c r="C20" s="10" t="n"/>
      <c r="D20" s="10" t="n"/>
      <c r="E20" s="10" t="n"/>
      <c r="F20" s="7" t="n"/>
    </row>
    <row r="21">
      <c r="B21" s="6" t="inlineStr">
        <is>
          <t>Ödeme</t>
        </is>
      </c>
      <c r="C21" s="6" t="inlineStr">
        <is>
          <t>Kullanıcı Deneyimi</t>
        </is>
      </c>
      <c r="D21" s="6" t="inlineStr">
        <is>
          <t>Kargo</t>
        </is>
      </c>
      <c r="E21" s="6" t="inlineStr">
        <is>
          <t>Müşteri Yorumları</t>
        </is>
      </c>
      <c r="F21" s="6" t="inlineStr">
        <is>
          <t>Fiyatlandırma</t>
        </is>
      </c>
    </row>
    <row r="22">
      <c r="A22" s="6" t="inlineStr">
        <is>
          <t>Ödeme</t>
        </is>
      </c>
      <c r="B22" s="11">
        <f>B13/B18</f>
        <v/>
      </c>
      <c r="C22" s="11">
        <f>C13/C18</f>
        <v/>
      </c>
      <c r="D22" s="11">
        <f>D13/D18</f>
        <v/>
      </c>
      <c r="E22" s="11">
        <f>E13/E18</f>
        <v/>
      </c>
      <c r="F22" s="11">
        <f>F13/F18</f>
        <v/>
      </c>
    </row>
    <row r="23">
      <c r="A23" s="6" t="inlineStr">
        <is>
          <t>Kullanıcı Deneyimi</t>
        </is>
      </c>
      <c r="B23" s="11">
        <f>B14/B18</f>
        <v/>
      </c>
      <c r="C23" s="11">
        <f>C14/C18</f>
        <v/>
      </c>
      <c r="D23" s="11">
        <f>D14/D18</f>
        <v/>
      </c>
      <c r="E23" s="11">
        <f>E14/E18</f>
        <v/>
      </c>
      <c r="F23" s="11">
        <f>F14/F18</f>
        <v/>
      </c>
    </row>
    <row r="24">
      <c r="A24" s="6" t="inlineStr">
        <is>
          <t>Kargo</t>
        </is>
      </c>
      <c r="B24" s="11">
        <f>B15/B18</f>
        <v/>
      </c>
      <c r="C24" s="11">
        <f>C15/C18</f>
        <v/>
      </c>
      <c r="D24" s="11">
        <f>D15/D18</f>
        <v/>
      </c>
      <c r="E24" s="11">
        <f>E15/E18</f>
        <v/>
      </c>
      <c r="F24" s="11">
        <f>F15/F18</f>
        <v/>
      </c>
    </row>
    <row r="25">
      <c r="A25" s="6" t="inlineStr">
        <is>
          <t>Müşteri Yorumları</t>
        </is>
      </c>
      <c r="B25" s="11">
        <f>B16/B18</f>
        <v/>
      </c>
      <c r="C25" s="11">
        <f>C16/C18</f>
        <v/>
      </c>
      <c r="D25" s="11">
        <f>D16/D18</f>
        <v/>
      </c>
      <c r="E25" s="11">
        <f>E16/E18</f>
        <v/>
      </c>
      <c r="F25" s="11">
        <f>F16/F18</f>
        <v/>
      </c>
    </row>
    <row r="26">
      <c r="A26" s="6" t="inlineStr">
        <is>
          <t>Fiyatlandırma</t>
        </is>
      </c>
      <c r="B26" s="11">
        <f>B17/B18</f>
        <v/>
      </c>
      <c r="C26" s="11">
        <f>C17/C18</f>
        <v/>
      </c>
      <c r="D26" s="11">
        <f>D17/D18</f>
        <v/>
      </c>
      <c r="E26" s="11">
        <f>E17/E18</f>
        <v/>
      </c>
      <c r="F26" s="11">
        <f>F17/F18</f>
        <v/>
      </c>
    </row>
    <row r="28">
      <c r="A28" s="6" t="inlineStr">
        <is>
          <t>Kriter</t>
        </is>
      </c>
      <c r="B28" s="6" t="inlineStr">
        <is>
          <t>ÖZV (w)</t>
        </is>
      </c>
      <c r="C28" s="6" t="inlineStr">
        <is>
          <t>A·w</t>
        </is>
      </c>
      <c r="D28" s="6" t="inlineStr">
        <is>
          <t>A·w / w</t>
        </is>
      </c>
    </row>
    <row r="29">
      <c r="A29" s="6" t="inlineStr">
        <is>
          <t>Ödeme</t>
        </is>
      </c>
      <c r="B29" s="11">
        <f>AVERAGE(B22:F22)</f>
        <v/>
      </c>
      <c r="C29" s="11">
        <f>B13*$B$29+C13*$B$30+D13*$B$31+E13*$B$32+F13*$B$33</f>
        <v/>
      </c>
      <c r="D29" s="11">
        <f>C29/B29</f>
        <v/>
      </c>
    </row>
    <row r="30">
      <c r="A30" s="6" t="inlineStr">
        <is>
          <t>Kullanıcı Deneyimi</t>
        </is>
      </c>
      <c r="B30" s="11">
        <f>AVERAGE(B23:F23)</f>
        <v/>
      </c>
      <c r="C30" s="11">
        <f>B14*$B$29+C14*$B$30+D14*$B$31+E14*$B$32+F14*$B$33</f>
        <v/>
      </c>
      <c r="D30" s="11">
        <f>C30/B30</f>
        <v/>
      </c>
    </row>
    <row r="31">
      <c r="A31" s="6" t="inlineStr">
        <is>
          <t>Kargo</t>
        </is>
      </c>
      <c r="B31" s="11">
        <f>AVERAGE(B24:F24)</f>
        <v/>
      </c>
      <c r="C31" s="11">
        <f>B15*$B$29+C15*$B$30+D15*$B$31+E15*$B$32+F15*$B$33</f>
        <v/>
      </c>
      <c r="D31" s="11">
        <f>C31/B31</f>
        <v/>
      </c>
    </row>
    <row r="32">
      <c r="A32" s="6" t="inlineStr">
        <is>
          <t>Müşteri Yorumları</t>
        </is>
      </c>
      <c r="B32" s="11">
        <f>AVERAGE(B25:F25)</f>
        <v/>
      </c>
      <c r="C32" s="11">
        <f>B16*$B$29+C16*$B$30+D16*$B$31+E16*$B$32+F16*$B$33</f>
        <v/>
      </c>
      <c r="D32" s="11">
        <f>C32/B32</f>
        <v/>
      </c>
    </row>
    <row r="33">
      <c r="A33" s="6" t="inlineStr">
        <is>
          <t>Fiyatlandırma</t>
        </is>
      </c>
      <c r="B33" s="11">
        <f>AVERAGE(B26:F26)</f>
        <v/>
      </c>
      <c r="C33" s="11">
        <f>B17*$B$29+C17*$B$30+D17*$B$31+E17*$B$32+F17*$B$33</f>
        <v/>
      </c>
      <c r="D33" s="11">
        <f>C33/B33</f>
        <v/>
      </c>
    </row>
    <row r="34">
      <c r="A34" s="6" t="inlineStr">
        <is>
          <t>Toplam</t>
        </is>
      </c>
      <c r="B34" s="11">
        <f>SUM(B29:B33)</f>
        <v/>
      </c>
    </row>
    <row r="36">
      <c r="A36" s="6" t="inlineStr">
        <is>
          <t>λ_max (ENBÖZD)</t>
        </is>
      </c>
      <c r="B36" s="11">
        <f>AVERAGE(D29:D33)</f>
        <v/>
      </c>
    </row>
    <row r="37">
      <c r="A37" s="6" t="inlineStr">
        <is>
          <t>n (kriter sayısı)</t>
        </is>
      </c>
      <c r="B37" s="9" t="n">
        <v>5</v>
      </c>
    </row>
    <row r="38">
      <c r="A38" s="6" t="inlineStr">
        <is>
          <t>CI = (λ_max - n) / (n - 1)</t>
        </is>
      </c>
      <c r="B38" s="11">
        <f>(B36-B37)/(B37-1)</f>
        <v/>
      </c>
    </row>
    <row r="39">
      <c r="A39" s="6" t="inlineStr">
        <is>
          <t>RI (n=5)</t>
        </is>
      </c>
      <c r="B39" s="11" t="n">
        <v>1.11</v>
      </c>
    </row>
    <row r="40">
      <c r="A40" s="6" t="inlineStr">
        <is>
          <t>CR = CI / RI</t>
        </is>
      </c>
      <c r="B40" s="11">
        <f>B38/B39</f>
        <v/>
      </c>
    </row>
    <row r="41">
      <c r="A41" s="6" t="inlineStr">
        <is>
          <t>Tutarlılık Eşiği</t>
        </is>
      </c>
      <c r="B41" s="9" t="n">
        <v>0.1</v>
      </c>
    </row>
    <row r="42">
      <c r="A42" s="6" t="inlineStr">
        <is>
          <t>Durum</t>
        </is>
      </c>
      <c r="B42" s="12">
        <f>IF(B40&lt;=B41,"Tutarlı","Tutarsız")</f>
        <v/>
      </c>
    </row>
  </sheetData>
  <mergeCells count="4">
    <mergeCell ref="A20:F20"/>
    <mergeCell ref="A11:F11"/>
    <mergeCell ref="A3:B3"/>
    <mergeCell ref="A1:H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KATILIMCI 29 - AHP ANALİZİ</t>
        </is>
      </c>
    </row>
    <row r="3">
      <c r="A3" s="6" t="inlineStr">
        <is>
          <t>Demografik Bilgiler</t>
        </is>
      </c>
      <c r="B3" s="7" t="n"/>
    </row>
    <row r="4">
      <c r="A4" s="8" t="inlineStr">
        <is>
          <t>Cinsiyet</t>
        </is>
      </c>
      <c r="B4" s="9">
        <f>Anket_Yanitlari!B30</f>
        <v/>
      </c>
    </row>
    <row r="5">
      <c r="A5" s="8" t="inlineStr">
        <is>
          <t>Yaş</t>
        </is>
      </c>
      <c r="B5" s="9">
        <f>Anket_Yanitlari!C30</f>
        <v/>
      </c>
    </row>
    <row r="6">
      <c r="A6" s="8" t="inlineStr">
        <is>
          <t>Eğitim</t>
        </is>
      </c>
      <c r="B6" s="9">
        <f>Anket_Yanitlari!D30</f>
        <v/>
      </c>
    </row>
    <row r="7">
      <c r="A7" s="8" t="inlineStr">
        <is>
          <t>Meslek</t>
        </is>
      </c>
      <c r="B7" s="9">
        <f>Anket_Yanitlari!E30</f>
        <v/>
      </c>
    </row>
    <row r="8">
      <c r="A8" s="8" t="inlineStr">
        <is>
          <t>Alışveriş Sıklığı</t>
        </is>
      </c>
      <c r="B8" s="9">
        <f>Anket_Yanitlari!F30</f>
        <v/>
      </c>
    </row>
    <row r="9">
      <c r="A9" s="8" t="inlineStr">
        <is>
          <t>Cihaz</t>
        </is>
      </c>
      <c r="B9" s="9">
        <f>Anket_Yanitlari!G30</f>
        <v/>
      </c>
    </row>
    <row r="11">
      <c r="A11" s="6" t="inlineStr">
        <is>
          <t>İkili Karşılaştırma Matrisi (A)</t>
        </is>
      </c>
      <c r="B11" s="10" t="n"/>
      <c r="C11" s="10" t="n"/>
      <c r="D11" s="10" t="n"/>
      <c r="E11" s="10" t="n"/>
      <c r="F11" s="7" t="n"/>
    </row>
    <row r="12">
      <c r="B12" s="6" t="inlineStr">
        <is>
          <t>Ödeme</t>
        </is>
      </c>
      <c r="C12" s="6" t="inlineStr">
        <is>
          <t>Kullanıcı Deneyimi</t>
        </is>
      </c>
      <c r="D12" s="6" t="inlineStr">
        <is>
          <t>Kargo</t>
        </is>
      </c>
      <c r="E12" s="6" t="inlineStr">
        <is>
          <t>Müşteri Yorumları</t>
        </is>
      </c>
      <c r="F12" s="6" t="inlineStr">
        <is>
          <t>Fiyatlandırma</t>
        </is>
      </c>
    </row>
    <row r="13">
      <c r="A13" s="6" t="inlineStr">
        <is>
          <t>Ödeme</t>
        </is>
      </c>
      <c r="B13" s="11" t="n">
        <v>1</v>
      </c>
      <c r="C13" s="11">
        <f>Anket_Yanitlari!H30</f>
        <v/>
      </c>
      <c r="D13" s="11">
        <f>Anket_Yanitlari!I30</f>
        <v/>
      </c>
      <c r="E13" s="11">
        <f>Anket_Yanitlari!J30</f>
        <v/>
      </c>
      <c r="F13" s="11">
        <f>Anket_Yanitlari!K30</f>
        <v/>
      </c>
    </row>
    <row r="14">
      <c r="A14" s="6" t="inlineStr">
        <is>
          <t>Kullanıcı Deneyimi</t>
        </is>
      </c>
      <c r="B14" s="11">
        <f>1/C13</f>
        <v/>
      </c>
      <c r="C14" s="11" t="n">
        <v>1</v>
      </c>
      <c r="D14" s="11">
        <f>Anket_Yanitlari!L30</f>
        <v/>
      </c>
      <c r="E14" s="11">
        <f>Anket_Yanitlari!M30</f>
        <v/>
      </c>
      <c r="F14" s="11">
        <f>Anket_Yanitlari!N30</f>
        <v/>
      </c>
    </row>
    <row r="15">
      <c r="A15" s="6" t="inlineStr">
        <is>
          <t>Kargo</t>
        </is>
      </c>
      <c r="B15" s="11">
        <f>1/D13</f>
        <v/>
      </c>
      <c r="C15" s="11">
        <f>1/D14</f>
        <v/>
      </c>
      <c r="D15" s="11" t="n">
        <v>1</v>
      </c>
      <c r="E15" s="11">
        <f>Anket_Yanitlari!O30</f>
        <v/>
      </c>
      <c r="F15" s="11">
        <f>Anket_Yanitlari!P30</f>
        <v/>
      </c>
    </row>
    <row r="16">
      <c r="A16" s="6" t="inlineStr">
        <is>
          <t>Müşteri Yorumları</t>
        </is>
      </c>
      <c r="B16" s="11">
        <f>1/E13</f>
        <v/>
      </c>
      <c r="C16" s="11">
        <f>1/E14</f>
        <v/>
      </c>
      <c r="D16" s="11">
        <f>1/E15</f>
        <v/>
      </c>
      <c r="E16" s="11" t="n">
        <v>1</v>
      </c>
      <c r="F16" s="11">
        <f>Anket_Yanitlari!Q30</f>
        <v/>
      </c>
    </row>
    <row r="17">
      <c r="A17" s="6" t="inlineStr">
        <is>
          <t>Fiyatlandırma</t>
        </is>
      </c>
      <c r="B17" s="11">
        <f>1/F13</f>
        <v/>
      </c>
      <c r="C17" s="11">
        <f>1/F14</f>
        <v/>
      </c>
      <c r="D17" s="11">
        <f>1/F15</f>
        <v/>
      </c>
      <c r="E17" s="11">
        <f>1/F16</f>
        <v/>
      </c>
      <c r="F17" s="11" t="n">
        <v>1</v>
      </c>
    </row>
    <row r="18">
      <c r="A18" s="6" t="inlineStr">
        <is>
          <t>Sütun Toplamı</t>
        </is>
      </c>
      <c r="B18" s="11">
        <f>SUM(B13:B17)</f>
        <v/>
      </c>
      <c r="C18" s="11">
        <f>SUM(C13:C17)</f>
        <v/>
      </c>
      <c r="D18" s="11">
        <f>SUM(D13:D17)</f>
        <v/>
      </c>
      <c r="E18" s="11">
        <f>SUM(E13:E17)</f>
        <v/>
      </c>
      <c r="F18" s="11">
        <f>SUM(F13:F17)</f>
        <v/>
      </c>
    </row>
    <row r="20">
      <c r="A20" s="6" t="inlineStr">
        <is>
          <t>Normalize Matris (N)</t>
        </is>
      </c>
      <c r="B20" s="10" t="n"/>
      <c r="C20" s="10" t="n"/>
      <c r="D20" s="10" t="n"/>
      <c r="E20" s="10" t="n"/>
      <c r="F20" s="7" t="n"/>
    </row>
    <row r="21">
      <c r="B21" s="6" t="inlineStr">
        <is>
          <t>Ödeme</t>
        </is>
      </c>
      <c r="C21" s="6" t="inlineStr">
        <is>
          <t>Kullanıcı Deneyimi</t>
        </is>
      </c>
      <c r="D21" s="6" t="inlineStr">
        <is>
          <t>Kargo</t>
        </is>
      </c>
      <c r="E21" s="6" t="inlineStr">
        <is>
          <t>Müşteri Yorumları</t>
        </is>
      </c>
      <c r="F21" s="6" t="inlineStr">
        <is>
          <t>Fiyatlandırma</t>
        </is>
      </c>
    </row>
    <row r="22">
      <c r="A22" s="6" t="inlineStr">
        <is>
          <t>Ödeme</t>
        </is>
      </c>
      <c r="B22" s="11">
        <f>B13/B18</f>
        <v/>
      </c>
      <c r="C22" s="11">
        <f>C13/C18</f>
        <v/>
      </c>
      <c r="D22" s="11">
        <f>D13/D18</f>
        <v/>
      </c>
      <c r="E22" s="11">
        <f>E13/E18</f>
        <v/>
      </c>
      <c r="F22" s="11">
        <f>F13/F18</f>
        <v/>
      </c>
    </row>
    <row r="23">
      <c r="A23" s="6" t="inlineStr">
        <is>
          <t>Kullanıcı Deneyimi</t>
        </is>
      </c>
      <c r="B23" s="11">
        <f>B14/B18</f>
        <v/>
      </c>
      <c r="C23" s="11">
        <f>C14/C18</f>
        <v/>
      </c>
      <c r="D23" s="11">
        <f>D14/D18</f>
        <v/>
      </c>
      <c r="E23" s="11">
        <f>E14/E18</f>
        <v/>
      </c>
      <c r="F23" s="11">
        <f>F14/F18</f>
        <v/>
      </c>
    </row>
    <row r="24">
      <c r="A24" s="6" t="inlineStr">
        <is>
          <t>Kargo</t>
        </is>
      </c>
      <c r="B24" s="11">
        <f>B15/B18</f>
        <v/>
      </c>
      <c r="C24" s="11">
        <f>C15/C18</f>
        <v/>
      </c>
      <c r="D24" s="11">
        <f>D15/D18</f>
        <v/>
      </c>
      <c r="E24" s="11">
        <f>E15/E18</f>
        <v/>
      </c>
      <c r="F24" s="11">
        <f>F15/F18</f>
        <v/>
      </c>
    </row>
    <row r="25">
      <c r="A25" s="6" t="inlineStr">
        <is>
          <t>Müşteri Yorumları</t>
        </is>
      </c>
      <c r="B25" s="11">
        <f>B16/B18</f>
        <v/>
      </c>
      <c r="C25" s="11">
        <f>C16/C18</f>
        <v/>
      </c>
      <c r="D25" s="11">
        <f>D16/D18</f>
        <v/>
      </c>
      <c r="E25" s="11">
        <f>E16/E18</f>
        <v/>
      </c>
      <c r="F25" s="11">
        <f>F16/F18</f>
        <v/>
      </c>
    </row>
    <row r="26">
      <c r="A26" s="6" t="inlineStr">
        <is>
          <t>Fiyatlandırma</t>
        </is>
      </c>
      <c r="B26" s="11">
        <f>B17/B18</f>
        <v/>
      </c>
      <c r="C26" s="11">
        <f>C17/C18</f>
        <v/>
      </c>
      <c r="D26" s="11">
        <f>D17/D18</f>
        <v/>
      </c>
      <c r="E26" s="11">
        <f>E17/E18</f>
        <v/>
      </c>
      <c r="F26" s="11">
        <f>F17/F18</f>
        <v/>
      </c>
    </row>
    <row r="28">
      <c r="A28" s="6" t="inlineStr">
        <is>
          <t>Kriter</t>
        </is>
      </c>
      <c r="B28" s="6" t="inlineStr">
        <is>
          <t>ÖZV (w)</t>
        </is>
      </c>
      <c r="C28" s="6" t="inlineStr">
        <is>
          <t>A·w</t>
        </is>
      </c>
      <c r="D28" s="6" t="inlineStr">
        <is>
          <t>A·w / w</t>
        </is>
      </c>
    </row>
    <row r="29">
      <c r="A29" s="6" t="inlineStr">
        <is>
          <t>Ödeme</t>
        </is>
      </c>
      <c r="B29" s="11">
        <f>AVERAGE(B22:F22)</f>
        <v/>
      </c>
      <c r="C29" s="11">
        <f>B13*$B$29+C13*$B$30+D13*$B$31+E13*$B$32+F13*$B$33</f>
        <v/>
      </c>
      <c r="D29" s="11">
        <f>C29/B29</f>
        <v/>
      </c>
    </row>
    <row r="30">
      <c r="A30" s="6" t="inlineStr">
        <is>
          <t>Kullanıcı Deneyimi</t>
        </is>
      </c>
      <c r="B30" s="11">
        <f>AVERAGE(B23:F23)</f>
        <v/>
      </c>
      <c r="C30" s="11">
        <f>B14*$B$29+C14*$B$30+D14*$B$31+E14*$B$32+F14*$B$33</f>
        <v/>
      </c>
      <c r="D30" s="11">
        <f>C30/B30</f>
        <v/>
      </c>
    </row>
    <row r="31">
      <c r="A31" s="6" t="inlineStr">
        <is>
          <t>Kargo</t>
        </is>
      </c>
      <c r="B31" s="11">
        <f>AVERAGE(B24:F24)</f>
        <v/>
      </c>
      <c r="C31" s="11">
        <f>B15*$B$29+C15*$B$30+D15*$B$31+E15*$B$32+F15*$B$33</f>
        <v/>
      </c>
      <c r="D31" s="11">
        <f>C31/B31</f>
        <v/>
      </c>
    </row>
    <row r="32">
      <c r="A32" s="6" t="inlineStr">
        <is>
          <t>Müşteri Yorumları</t>
        </is>
      </c>
      <c r="B32" s="11">
        <f>AVERAGE(B25:F25)</f>
        <v/>
      </c>
      <c r="C32" s="11">
        <f>B16*$B$29+C16*$B$30+D16*$B$31+E16*$B$32+F16*$B$33</f>
        <v/>
      </c>
      <c r="D32" s="11">
        <f>C32/B32</f>
        <v/>
      </c>
    </row>
    <row r="33">
      <c r="A33" s="6" t="inlineStr">
        <is>
          <t>Fiyatlandırma</t>
        </is>
      </c>
      <c r="B33" s="11">
        <f>AVERAGE(B26:F26)</f>
        <v/>
      </c>
      <c r="C33" s="11">
        <f>B17*$B$29+C17*$B$30+D17*$B$31+E17*$B$32+F17*$B$33</f>
        <v/>
      </c>
      <c r="D33" s="11">
        <f>C33/B33</f>
        <v/>
      </c>
    </row>
    <row r="34">
      <c r="A34" s="6" t="inlineStr">
        <is>
          <t>Toplam</t>
        </is>
      </c>
      <c r="B34" s="11">
        <f>SUM(B29:B33)</f>
        <v/>
      </c>
    </row>
    <row r="36">
      <c r="A36" s="6" t="inlineStr">
        <is>
          <t>λ_max (ENBÖZD)</t>
        </is>
      </c>
      <c r="B36" s="11">
        <f>AVERAGE(D29:D33)</f>
        <v/>
      </c>
    </row>
    <row r="37">
      <c r="A37" s="6" t="inlineStr">
        <is>
          <t>n (kriter sayısı)</t>
        </is>
      </c>
      <c r="B37" s="9" t="n">
        <v>5</v>
      </c>
    </row>
    <row r="38">
      <c r="A38" s="6" t="inlineStr">
        <is>
          <t>CI = (λ_max - n) / (n - 1)</t>
        </is>
      </c>
      <c r="B38" s="11">
        <f>(B36-B37)/(B37-1)</f>
        <v/>
      </c>
    </row>
    <row r="39">
      <c r="A39" s="6" t="inlineStr">
        <is>
          <t>RI (n=5)</t>
        </is>
      </c>
      <c r="B39" s="11" t="n">
        <v>1.11</v>
      </c>
    </row>
    <row r="40">
      <c r="A40" s="6" t="inlineStr">
        <is>
          <t>CR = CI / RI</t>
        </is>
      </c>
      <c r="B40" s="11">
        <f>B38/B39</f>
        <v/>
      </c>
    </row>
    <row r="41">
      <c r="A41" s="6" t="inlineStr">
        <is>
          <t>Tutarlılık Eşiği</t>
        </is>
      </c>
      <c r="B41" s="9" t="n">
        <v>0.1</v>
      </c>
    </row>
    <row r="42">
      <c r="A42" s="6" t="inlineStr">
        <is>
          <t>Durum</t>
        </is>
      </c>
      <c r="B42" s="12">
        <f>IF(B40&lt;=B41,"Tutarlı","Tutarsız")</f>
        <v/>
      </c>
    </row>
  </sheetData>
  <mergeCells count="4">
    <mergeCell ref="A20:F20"/>
    <mergeCell ref="A11:F11"/>
    <mergeCell ref="A3:B3"/>
    <mergeCell ref="A1:H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KATILIMCI 30 - AHP ANALİZİ</t>
        </is>
      </c>
    </row>
    <row r="3">
      <c r="A3" s="6" t="inlineStr">
        <is>
          <t>Demografik Bilgiler</t>
        </is>
      </c>
      <c r="B3" s="7" t="n"/>
    </row>
    <row r="4">
      <c r="A4" s="8" t="inlineStr">
        <is>
          <t>Cinsiyet</t>
        </is>
      </c>
      <c r="B4" s="9">
        <f>Anket_Yanitlari!B31</f>
        <v/>
      </c>
    </row>
    <row r="5">
      <c r="A5" s="8" t="inlineStr">
        <is>
          <t>Yaş</t>
        </is>
      </c>
      <c r="B5" s="9">
        <f>Anket_Yanitlari!C31</f>
        <v/>
      </c>
    </row>
    <row r="6">
      <c r="A6" s="8" t="inlineStr">
        <is>
          <t>Eğitim</t>
        </is>
      </c>
      <c r="B6" s="9">
        <f>Anket_Yanitlari!D31</f>
        <v/>
      </c>
    </row>
    <row r="7">
      <c r="A7" s="8" t="inlineStr">
        <is>
          <t>Meslek</t>
        </is>
      </c>
      <c r="B7" s="9">
        <f>Anket_Yanitlari!E31</f>
        <v/>
      </c>
    </row>
    <row r="8">
      <c r="A8" s="8" t="inlineStr">
        <is>
          <t>Alışveriş Sıklığı</t>
        </is>
      </c>
      <c r="B8" s="9">
        <f>Anket_Yanitlari!F31</f>
        <v/>
      </c>
    </row>
    <row r="9">
      <c r="A9" s="8" t="inlineStr">
        <is>
          <t>Cihaz</t>
        </is>
      </c>
      <c r="B9" s="9">
        <f>Anket_Yanitlari!G31</f>
        <v/>
      </c>
    </row>
    <row r="11">
      <c r="A11" s="6" t="inlineStr">
        <is>
          <t>İkili Karşılaştırma Matrisi (A)</t>
        </is>
      </c>
      <c r="B11" s="10" t="n"/>
      <c r="C11" s="10" t="n"/>
      <c r="D11" s="10" t="n"/>
      <c r="E11" s="10" t="n"/>
      <c r="F11" s="7" t="n"/>
    </row>
    <row r="12">
      <c r="B12" s="6" t="inlineStr">
        <is>
          <t>Ödeme</t>
        </is>
      </c>
      <c r="C12" s="6" t="inlineStr">
        <is>
          <t>Kullanıcı Deneyimi</t>
        </is>
      </c>
      <c r="D12" s="6" t="inlineStr">
        <is>
          <t>Kargo</t>
        </is>
      </c>
      <c r="E12" s="6" t="inlineStr">
        <is>
          <t>Müşteri Yorumları</t>
        </is>
      </c>
      <c r="F12" s="6" t="inlineStr">
        <is>
          <t>Fiyatlandırma</t>
        </is>
      </c>
    </row>
    <row r="13">
      <c r="A13" s="6" t="inlineStr">
        <is>
          <t>Ödeme</t>
        </is>
      </c>
      <c r="B13" s="11" t="n">
        <v>1</v>
      </c>
      <c r="C13" s="11">
        <f>Anket_Yanitlari!H31</f>
        <v/>
      </c>
      <c r="D13" s="11">
        <f>Anket_Yanitlari!I31</f>
        <v/>
      </c>
      <c r="E13" s="11">
        <f>Anket_Yanitlari!J31</f>
        <v/>
      </c>
      <c r="F13" s="11">
        <f>Anket_Yanitlari!K31</f>
        <v/>
      </c>
    </row>
    <row r="14">
      <c r="A14" s="6" t="inlineStr">
        <is>
          <t>Kullanıcı Deneyimi</t>
        </is>
      </c>
      <c r="B14" s="11">
        <f>1/C13</f>
        <v/>
      </c>
      <c r="C14" s="11" t="n">
        <v>1</v>
      </c>
      <c r="D14" s="11">
        <f>Anket_Yanitlari!L31</f>
        <v/>
      </c>
      <c r="E14" s="11">
        <f>Anket_Yanitlari!M31</f>
        <v/>
      </c>
      <c r="F14" s="11">
        <f>Anket_Yanitlari!N31</f>
        <v/>
      </c>
    </row>
    <row r="15">
      <c r="A15" s="6" t="inlineStr">
        <is>
          <t>Kargo</t>
        </is>
      </c>
      <c r="B15" s="11">
        <f>1/D13</f>
        <v/>
      </c>
      <c r="C15" s="11">
        <f>1/D14</f>
        <v/>
      </c>
      <c r="D15" s="11" t="n">
        <v>1</v>
      </c>
      <c r="E15" s="11">
        <f>Anket_Yanitlari!O31</f>
        <v/>
      </c>
      <c r="F15" s="11">
        <f>Anket_Yanitlari!P31</f>
        <v/>
      </c>
    </row>
    <row r="16">
      <c r="A16" s="6" t="inlineStr">
        <is>
          <t>Müşteri Yorumları</t>
        </is>
      </c>
      <c r="B16" s="11">
        <f>1/E13</f>
        <v/>
      </c>
      <c r="C16" s="11">
        <f>1/E14</f>
        <v/>
      </c>
      <c r="D16" s="11">
        <f>1/E15</f>
        <v/>
      </c>
      <c r="E16" s="11" t="n">
        <v>1</v>
      </c>
      <c r="F16" s="11">
        <f>Anket_Yanitlari!Q31</f>
        <v/>
      </c>
    </row>
    <row r="17">
      <c r="A17" s="6" t="inlineStr">
        <is>
          <t>Fiyatlandırma</t>
        </is>
      </c>
      <c r="B17" s="11">
        <f>1/F13</f>
        <v/>
      </c>
      <c r="C17" s="11">
        <f>1/F14</f>
        <v/>
      </c>
      <c r="D17" s="11">
        <f>1/F15</f>
        <v/>
      </c>
      <c r="E17" s="11">
        <f>1/F16</f>
        <v/>
      </c>
      <c r="F17" s="11" t="n">
        <v>1</v>
      </c>
    </row>
    <row r="18">
      <c r="A18" s="6" t="inlineStr">
        <is>
          <t>Sütun Toplamı</t>
        </is>
      </c>
      <c r="B18" s="11">
        <f>SUM(B13:B17)</f>
        <v/>
      </c>
      <c r="C18" s="11">
        <f>SUM(C13:C17)</f>
        <v/>
      </c>
      <c r="D18" s="11">
        <f>SUM(D13:D17)</f>
        <v/>
      </c>
      <c r="E18" s="11">
        <f>SUM(E13:E17)</f>
        <v/>
      </c>
      <c r="F18" s="11">
        <f>SUM(F13:F17)</f>
        <v/>
      </c>
    </row>
    <row r="20">
      <c r="A20" s="6" t="inlineStr">
        <is>
          <t>Normalize Matris (N)</t>
        </is>
      </c>
      <c r="B20" s="10" t="n"/>
      <c r="C20" s="10" t="n"/>
      <c r="D20" s="10" t="n"/>
      <c r="E20" s="10" t="n"/>
      <c r="F20" s="7" t="n"/>
    </row>
    <row r="21">
      <c r="B21" s="6" t="inlineStr">
        <is>
          <t>Ödeme</t>
        </is>
      </c>
      <c r="C21" s="6" t="inlineStr">
        <is>
          <t>Kullanıcı Deneyimi</t>
        </is>
      </c>
      <c r="D21" s="6" t="inlineStr">
        <is>
          <t>Kargo</t>
        </is>
      </c>
      <c r="E21" s="6" t="inlineStr">
        <is>
          <t>Müşteri Yorumları</t>
        </is>
      </c>
      <c r="F21" s="6" t="inlineStr">
        <is>
          <t>Fiyatlandırma</t>
        </is>
      </c>
    </row>
    <row r="22">
      <c r="A22" s="6" t="inlineStr">
        <is>
          <t>Ödeme</t>
        </is>
      </c>
      <c r="B22" s="11">
        <f>B13/B18</f>
        <v/>
      </c>
      <c r="C22" s="11">
        <f>C13/C18</f>
        <v/>
      </c>
      <c r="D22" s="11">
        <f>D13/D18</f>
        <v/>
      </c>
      <c r="E22" s="11">
        <f>E13/E18</f>
        <v/>
      </c>
      <c r="F22" s="11">
        <f>F13/F18</f>
        <v/>
      </c>
    </row>
    <row r="23">
      <c r="A23" s="6" t="inlineStr">
        <is>
          <t>Kullanıcı Deneyimi</t>
        </is>
      </c>
      <c r="B23" s="11">
        <f>B14/B18</f>
        <v/>
      </c>
      <c r="C23" s="11">
        <f>C14/C18</f>
        <v/>
      </c>
      <c r="D23" s="11">
        <f>D14/D18</f>
        <v/>
      </c>
      <c r="E23" s="11">
        <f>E14/E18</f>
        <v/>
      </c>
      <c r="F23" s="11">
        <f>F14/F18</f>
        <v/>
      </c>
    </row>
    <row r="24">
      <c r="A24" s="6" t="inlineStr">
        <is>
          <t>Kargo</t>
        </is>
      </c>
      <c r="B24" s="11">
        <f>B15/B18</f>
        <v/>
      </c>
      <c r="C24" s="11">
        <f>C15/C18</f>
        <v/>
      </c>
      <c r="D24" s="11">
        <f>D15/D18</f>
        <v/>
      </c>
      <c r="E24" s="11">
        <f>E15/E18</f>
        <v/>
      </c>
      <c r="F24" s="11">
        <f>F15/F18</f>
        <v/>
      </c>
    </row>
    <row r="25">
      <c r="A25" s="6" t="inlineStr">
        <is>
          <t>Müşteri Yorumları</t>
        </is>
      </c>
      <c r="B25" s="11">
        <f>B16/B18</f>
        <v/>
      </c>
      <c r="C25" s="11">
        <f>C16/C18</f>
        <v/>
      </c>
      <c r="D25" s="11">
        <f>D16/D18</f>
        <v/>
      </c>
      <c r="E25" s="11">
        <f>E16/E18</f>
        <v/>
      </c>
      <c r="F25" s="11">
        <f>F16/F18</f>
        <v/>
      </c>
    </row>
    <row r="26">
      <c r="A26" s="6" t="inlineStr">
        <is>
          <t>Fiyatlandırma</t>
        </is>
      </c>
      <c r="B26" s="11">
        <f>B17/B18</f>
        <v/>
      </c>
      <c r="C26" s="11">
        <f>C17/C18</f>
        <v/>
      </c>
      <c r="D26" s="11">
        <f>D17/D18</f>
        <v/>
      </c>
      <c r="E26" s="11">
        <f>E17/E18</f>
        <v/>
      </c>
      <c r="F26" s="11">
        <f>F17/F18</f>
        <v/>
      </c>
    </row>
    <row r="28">
      <c r="A28" s="6" t="inlineStr">
        <is>
          <t>Kriter</t>
        </is>
      </c>
      <c r="B28" s="6" t="inlineStr">
        <is>
          <t>ÖZV (w)</t>
        </is>
      </c>
      <c r="C28" s="6" t="inlineStr">
        <is>
          <t>A·w</t>
        </is>
      </c>
      <c r="D28" s="6" t="inlineStr">
        <is>
          <t>A·w / w</t>
        </is>
      </c>
    </row>
    <row r="29">
      <c r="A29" s="6" t="inlineStr">
        <is>
          <t>Ödeme</t>
        </is>
      </c>
      <c r="B29" s="11">
        <f>AVERAGE(B22:F22)</f>
        <v/>
      </c>
      <c r="C29" s="11">
        <f>B13*$B$29+C13*$B$30+D13*$B$31+E13*$B$32+F13*$B$33</f>
        <v/>
      </c>
      <c r="D29" s="11">
        <f>C29/B29</f>
        <v/>
      </c>
    </row>
    <row r="30">
      <c r="A30" s="6" t="inlineStr">
        <is>
          <t>Kullanıcı Deneyimi</t>
        </is>
      </c>
      <c r="B30" s="11">
        <f>AVERAGE(B23:F23)</f>
        <v/>
      </c>
      <c r="C30" s="11">
        <f>B14*$B$29+C14*$B$30+D14*$B$31+E14*$B$32+F14*$B$33</f>
        <v/>
      </c>
      <c r="D30" s="11">
        <f>C30/B30</f>
        <v/>
      </c>
    </row>
    <row r="31">
      <c r="A31" s="6" t="inlineStr">
        <is>
          <t>Kargo</t>
        </is>
      </c>
      <c r="B31" s="11">
        <f>AVERAGE(B24:F24)</f>
        <v/>
      </c>
      <c r="C31" s="11">
        <f>B15*$B$29+C15*$B$30+D15*$B$31+E15*$B$32+F15*$B$33</f>
        <v/>
      </c>
      <c r="D31" s="11">
        <f>C31/B31</f>
        <v/>
      </c>
    </row>
    <row r="32">
      <c r="A32" s="6" t="inlineStr">
        <is>
          <t>Müşteri Yorumları</t>
        </is>
      </c>
      <c r="B32" s="11">
        <f>AVERAGE(B25:F25)</f>
        <v/>
      </c>
      <c r="C32" s="11">
        <f>B16*$B$29+C16*$B$30+D16*$B$31+E16*$B$32+F16*$B$33</f>
        <v/>
      </c>
      <c r="D32" s="11">
        <f>C32/B32</f>
        <v/>
      </c>
    </row>
    <row r="33">
      <c r="A33" s="6" t="inlineStr">
        <is>
          <t>Fiyatlandırma</t>
        </is>
      </c>
      <c r="B33" s="11">
        <f>AVERAGE(B26:F26)</f>
        <v/>
      </c>
      <c r="C33" s="11">
        <f>B17*$B$29+C17*$B$30+D17*$B$31+E17*$B$32+F17*$B$33</f>
        <v/>
      </c>
      <c r="D33" s="11">
        <f>C33/B33</f>
        <v/>
      </c>
    </row>
    <row r="34">
      <c r="A34" s="6" t="inlineStr">
        <is>
          <t>Toplam</t>
        </is>
      </c>
      <c r="B34" s="11">
        <f>SUM(B29:B33)</f>
        <v/>
      </c>
    </row>
    <row r="36">
      <c r="A36" s="6" t="inlineStr">
        <is>
          <t>λ_max (ENBÖZD)</t>
        </is>
      </c>
      <c r="B36" s="11">
        <f>AVERAGE(D29:D33)</f>
        <v/>
      </c>
    </row>
    <row r="37">
      <c r="A37" s="6" t="inlineStr">
        <is>
          <t>n (kriter sayısı)</t>
        </is>
      </c>
      <c r="B37" s="9" t="n">
        <v>5</v>
      </c>
    </row>
    <row r="38">
      <c r="A38" s="6" t="inlineStr">
        <is>
          <t>CI = (λ_max - n) / (n - 1)</t>
        </is>
      </c>
      <c r="B38" s="11">
        <f>(B36-B37)/(B37-1)</f>
        <v/>
      </c>
    </row>
    <row r="39">
      <c r="A39" s="6" t="inlineStr">
        <is>
          <t>RI (n=5)</t>
        </is>
      </c>
      <c r="B39" s="11" t="n">
        <v>1.11</v>
      </c>
    </row>
    <row r="40">
      <c r="A40" s="6" t="inlineStr">
        <is>
          <t>CR = CI / RI</t>
        </is>
      </c>
      <c r="B40" s="11">
        <f>B38/B39</f>
        <v/>
      </c>
    </row>
    <row r="41">
      <c r="A41" s="6" t="inlineStr">
        <is>
          <t>Tutarlılık Eşiği</t>
        </is>
      </c>
      <c r="B41" s="9" t="n">
        <v>0.1</v>
      </c>
    </row>
    <row r="42">
      <c r="A42" s="6" t="inlineStr">
        <is>
          <t>Durum</t>
        </is>
      </c>
      <c r="B42" s="12">
        <f>IF(B40&lt;=B41,"Tutarlı","Tutarsız")</f>
        <v/>
      </c>
    </row>
  </sheetData>
  <mergeCells count="4">
    <mergeCell ref="A20:F20"/>
    <mergeCell ref="A11:F11"/>
    <mergeCell ref="A3:B3"/>
    <mergeCell ref="A1:H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KATILIMCI 31 - AHP ANALİZİ</t>
        </is>
      </c>
    </row>
    <row r="3">
      <c r="A3" s="6" t="inlineStr">
        <is>
          <t>Demografik Bilgiler</t>
        </is>
      </c>
      <c r="B3" s="7" t="n"/>
    </row>
    <row r="4">
      <c r="A4" s="8" t="inlineStr">
        <is>
          <t>Cinsiyet</t>
        </is>
      </c>
      <c r="B4" s="9">
        <f>Anket_Yanitlari!B32</f>
        <v/>
      </c>
    </row>
    <row r="5">
      <c r="A5" s="8" t="inlineStr">
        <is>
          <t>Yaş</t>
        </is>
      </c>
      <c r="B5" s="9">
        <f>Anket_Yanitlari!C32</f>
        <v/>
      </c>
    </row>
    <row r="6">
      <c r="A6" s="8" t="inlineStr">
        <is>
          <t>Eğitim</t>
        </is>
      </c>
      <c r="B6" s="9">
        <f>Anket_Yanitlari!D32</f>
        <v/>
      </c>
    </row>
    <row r="7">
      <c r="A7" s="8" t="inlineStr">
        <is>
          <t>Meslek</t>
        </is>
      </c>
      <c r="B7" s="9">
        <f>Anket_Yanitlari!E32</f>
        <v/>
      </c>
    </row>
    <row r="8">
      <c r="A8" s="8" t="inlineStr">
        <is>
          <t>Alışveriş Sıklığı</t>
        </is>
      </c>
      <c r="B8" s="9">
        <f>Anket_Yanitlari!F32</f>
        <v/>
      </c>
    </row>
    <row r="9">
      <c r="A9" s="8" t="inlineStr">
        <is>
          <t>Cihaz</t>
        </is>
      </c>
      <c r="B9" s="9">
        <f>Anket_Yanitlari!G32</f>
        <v/>
      </c>
    </row>
    <row r="11">
      <c r="A11" s="6" t="inlineStr">
        <is>
          <t>İkili Karşılaştırma Matrisi (A)</t>
        </is>
      </c>
      <c r="B11" s="10" t="n"/>
      <c r="C11" s="10" t="n"/>
      <c r="D11" s="10" t="n"/>
      <c r="E11" s="10" t="n"/>
      <c r="F11" s="7" t="n"/>
    </row>
    <row r="12">
      <c r="B12" s="6" t="inlineStr">
        <is>
          <t>Ödeme</t>
        </is>
      </c>
      <c r="C12" s="6" t="inlineStr">
        <is>
          <t>Kullanıcı Deneyimi</t>
        </is>
      </c>
      <c r="D12" s="6" t="inlineStr">
        <is>
          <t>Kargo</t>
        </is>
      </c>
      <c r="E12" s="6" t="inlineStr">
        <is>
          <t>Müşteri Yorumları</t>
        </is>
      </c>
      <c r="F12" s="6" t="inlineStr">
        <is>
          <t>Fiyatlandırma</t>
        </is>
      </c>
    </row>
    <row r="13">
      <c r="A13" s="6" t="inlineStr">
        <is>
          <t>Ödeme</t>
        </is>
      </c>
      <c r="B13" s="11" t="n">
        <v>1</v>
      </c>
      <c r="C13" s="11">
        <f>Anket_Yanitlari!H32</f>
        <v/>
      </c>
      <c r="D13" s="11">
        <f>Anket_Yanitlari!I32</f>
        <v/>
      </c>
      <c r="E13" s="11">
        <f>Anket_Yanitlari!J32</f>
        <v/>
      </c>
      <c r="F13" s="11">
        <f>Anket_Yanitlari!K32</f>
        <v/>
      </c>
    </row>
    <row r="14">
      <c r="A14" s="6" t="inlineStr">
        <is>
          <t>Kullanıcı Deneyimi</t>
        </is>
      </c>
      <c r="B14" s="11">
        <f>1/C13</f>
        <v/>
      </c>
      <c r="C14" s="11" t="n">
        <v>1</v>
      </c>
      <c r="D14" s="11">
        <f>Anket_Yanitlari!L32</f>
        <v/>
      </c>
      <c r="E14" s="11">
        <f>Anket_Yanitlari!M32</f>
        <v/>
      </c>
      <c r="F14" s="11">
        <f>Anket_Yanitlari!N32</f>
        <v/>
      </c>
    </row>
    <row r="15">
      <c r="A15" s="6" t="inlineStr">
        <is>
          <t>Kargo</t>
        </is>
      </c>
      <c r="B15" s="11">
        <f>1/D13</f>
        <v/>
      </c>
      <c r="C15" s="11">
        <f>1/D14</f>
        <v/>
      </c>
      <c r="D15" s="11" t="n">
        <v>1</v>
      </c>
      <c r="E15" s="11">
        <f>Anket_Yanitlari!O32</f>
        <v/>
      </c>
      <c r="F15" s="11">
        <f>Anket_Yanitlari!P32</f>
        <v/>
      </c>
    </row>
    <row r="16">
      <c r="A16" s="6" t="inlineStr">
        <is>
          <t>Müşteri Yorumları</t>
        </is>
      </c>
      <c r="B16" s="11">
        <f>1/E13</f>
        <v/>
      </c>
      <c r="C16" s="11">
        <f>1/E14</f>
        <v/>
      </c>
      <c r="D16" s="11">
        <f>1/E15</f>
        <v/>
      </c>
      <c r="E16" s="11" t="n">
        <v>1</v>
      </c>
      <c r="F16" s="11">
        <f>Anket_Yanitlari!Q32</f>
        <v/>
      </c>
    </row>
    <row r="17">
      <c r="A17" s="6" t="inlineStr">
        <is>
          <t>Fiyatlandırma</t>
        </is>
      </c>
      <c r="B17" s="11">
        <f>1/F13</f>
        <v/>
      </c>
      <c r="C17" s="11">
        <f>1/F14</f>
        <v/>
      </c>
      <c r="D17" s="11">
        <f>1/F15</f>
        <v/>
      </c>
      <c r="E17" s="11">
        <f>1/F16</f>
        <v/>
      </c>
      <c r="F17" s="11" t="n">
        <v>1</v>
      </c>
    </row>
    <row r="18">
      <c r="A18" s="6" t="inlineStr">
        <is>
          <t>Sütun Toplamı</t>
        </is>
      </c>
      <c r="B18" s="11">
        <f>SUM(B13:B17)</f>
        <v/>
      </c>
      <c r="C18" s="11">
        <f>SUM(C13:C17)</f>
        <v/>
      </c>
      <c r="D18" s="11">
        <f>SUM(D13:D17)</f>
        <v/>
      </c>
      <c r="E18" s="11">
        <f>SUM(E13:E17)</f>
        <v/>
      </c>
      <c r="F18" s="11">
        <f>SUM(F13:F17)</f>
        <v/>
      </c>
    </row>
    <row r="20">
      <c r="A20" s="6" t="inlineStr">
        <is>
          <t>Normalize Matris (N)</t>
        </is>
      </c>
      <c r="B20" s="10" t="n"/>
      <c r="C20" s="10" t="n"/>
      <c r="D20" s="10" t="n"/>
      <c r="E20" s="10" t="n"/>
      <c r="F20" s="7" t="n"/>
    </row>
    <row r="21">
      <c r="B21" s="6" t="inlineStr">
        <is>
          <t>Ödeme</t>
        </is>
      </c>
      <c r="C21" s="6" t="inlineStr">
        <is>
          <t>Kullanıcı Deneyimi</t>
        </is>
      </c>
      <c r="D21" s="6" t="inlineStr">
        <is>
          <t>Kargo</t>
        </is>
      </c>
      <c r="E21" s="6" t="inlineStr">
        <is>
          <t>Müşteri Yorumları</t>
        </is>
      </c>
      <c r="F21" s="6" t="inlineStr">
        <is>
          <t>Fiyatlandırma</t>
        </is>
      </c>
    </row>
    <row r="22">
      <c r="A22" s="6" t="inlineStr">
        <is>
          <t>Ödeme</t>
        </is>
      </c>
      <c r="B22" s="11">
        <f>B13/B18</f>
        <v/>
      </c>
      <c r="C22" s="11">
        <f>C13/C18</f>
        <v/>
      </c>
      <c r="D22" s="11">
        <f>D13/D18</f>
        <v/>
      </c>
      <c r="E22" s="11">
        <f>E13/E18</f>
        <v/>
      </c>
      <c r="F22" s="11">
        <f>F13/F18</f>
        <v/>
      </c>
    </row>
    <row r="23">
      <c r="A23" s="6" t="inlineStr">
        <is>
          <t>Kullanıcı Deneyimi</t>
        </is>
      </c>
      <c r="B23" s="11">
        <f>B14/B18</f>
        <v/>
      </c>
      <c r="C23" s="11">
        <f>C14/C18</f>
        <v/>
      </c>
      <c r="D23" s="11">
        <f>D14/D18</f>
        <v/>
      </c>
      <c r="E23" s="11">
        <f>E14/E18</f>
        <v/>
      </c>
      <c r="F23" s="11">
        <f>F14/F18</f>
        <v/>
      </c>
    </row>
    <row r="24">
      <c r="A24" s="6" t="inlineStr">
        <is>
          <t>Kargo</t>
        </is>
      </c>
      <c r="B24" s="11">
        <f>B15/B18</f>
        <v/>
      </c>
      <c r="C24" s="11">
        <f>C15/C18</f>
        <v/>
      </c>
      <c r="D24" s="11">
        <f>D15/D18</f>
        <v/>
      </c>
      <c r="E24" s="11">
        <f>E15/E18</f>
        <v/>
      </c>
      <c r="F24" s="11">
        <f>F15/F18</f>
        <v/>
      </c>
    </row>
    <row r="25">
      <c r="A25" s="6" t="inlineStr">
        <is>
          <t>Müşteri Yorumları</t>
        </is>
      </c>
      <c r="B25" s="11">
        <f>B16/B18</f>
        <v/>
      </c>
      <c r="C25" s="11">
        <f>C16/C18</f>
        <v/>
      </c>
      <c r="D25" s="11">
        <f>D16/D18</f>
        <v/>
      </c>
      <c r="E25" s="11">
        <f>E16/E18</f>
        <v/>
      </c>
      <c r="F25" s="11">
        <f>F16/F18</f>
        <v/>
      </c>
    </row>
    <row r="26">
      <c r="A26" s="6" t="inlineStr">
        <is>
          <t>Fiyatlandırma</t>
        </is>
      </c>
      <c r="B26" s="11">
        <f>B17/B18</f>
        <v/>
      </c>
      <c r="C26" s="11">
        <f>C17/C18</f>
        <v/>
      </c>
      <c r="D26" s="11">
        <f>D17/D18</f>
        <v/>
      </c>
      <c r="E26" s="11">
        <f>E17/E18</f>
        <v/>
      </c>
      <c r="F26" s="11">
        <f>F17/F18</f>
        <v/>
      </c>
    </row>
    <row r="28">
      <c r="A28" s="6" t="inlineStr">
        <is>
          <t>Kriter</t>
        </is>
      </c>
      <c r="B28" s="6" t="inlineStr">
        <is>
          <t>ÖZV (w)</t>
        </is>
      </c>
      <c r="C28" s="6" t="inlineStr">
        <is>
          <t>A·w</t>
        </is>
      </c>
      <c r="D28" s="6" t="inlineStr">
        <is>
          <t>A·w / w</t>
        </is>
      </c>
    </row>
    <row r="29">
      <c r="A29" s="6" t="inlineStr">
        <is>
          <t>Ödeme</t>
        </is>
      </c>
      <c r="B29" s="11">
        <f>AVERAGE(B22:F22)</f>
        <v/>
      </c>
      <c r="C29" s="11">
        <f>B13*$B$29+C13*$B$30+D13*$B$31+E13*$B$32+F13*$B$33</f>
        <v/>
      </c>
      <c r="D29" s="11">
        <f>C29/B29</f>
        <v/>
      </c>
    </row>
    <row r="30">
      <c r="A30" s="6" t="inlineStr">
        <is>
          <t>Kullanıcı Deneyimi</t>
        </is>
      </c>
      <c r="B30" s="11">
        <f>AVERAGE(B23:F23)</f>
        <v/>
      </c>
      <c r="C30" s="11">
        <f>B14*$B$29+C14*$B$30+D14*$B$31+E14*$B$32+F14*$B$33</f>
        <v/>
      </c>
      <c r="D30" s="11">
        <f>C30/B30</f>
        <v/>
      </c>
    </row>
    <row r="31">
      <c r="A31" s="6" t="inlineStr">
        <is>
          <t>Kargo</t>
        </is>
      </c>
      <c r="B31" s="11">
        <f>AVERAGE(B24:F24)</f>
        <v/>
      </c>
      <c r="C31" s="11">
        <f>B15*$B$29+C15*$B$30+D15*$B$31+E15*$B$32+F15*$B$33</f>
        <v/>
      </c>
      <c r="D31" s="11">
        <f>C31/B31</f>
        <v/>
      </c>
    </row>
    <row r="32">
      <c r="A32" s="6" t="inlineStr">
        <is>
          <t>Müşteri Yorumları</t>
        </is>
      </c>
      <c r="B32" s="11">
        <f>AVERAGE(B25:F25)</f>
        <v/>
      </c>
      <c r="C32" s="11">
        <f>B16*$B$29+C16*$B$30+D16*$B$31+E16*$B$32+F16*$B$33</f>
        <v/>
      </c>
      <c r="D32" s="11">
        <f>C32/B32</f>
        <v/>
      </c>
    </row>
    <row r="33">
      <c r="A33" s="6" t="inlineStr">
        <is>
          <t>Fiyatlandırma</t>
        </is>
      </c>
      <c r="B33" s="11">
        <f>AVERAGE(B26:F26)</f>
        <v/>
      </c>
      <c r="C33" s="11">
        <f>B17*$B$29+C17*$B$30+D17*$B$31+E17*$B$32+F17*$B$33</f>
        <v/>
      </c>
      <c r="D33" s="11">
        <f>C33/B33</f>
        <v/>
      </c>
    </row>
    <row r="34">
      <c r="A34" s="6" t="inlineStr">
        <is>
          <t>Toplam</t>
        </is>
      </c>
      <c r="B34" s="11">
        <f>SUM(B29:B33)</f>
        <v/>
      </c>
    </row>
    <row r="36">
      <c r="A36" s="6" t="inlineStr">
        <is>
          <t>λ_max (ENBÖZD)</t>
        </is>
      </c>
      <c r="B36" s="11">
        <f>AVERAGE(D29:D33)</f>
        <v/>
      </c>
    </row>
    <row r="37">
      <c r="A37" s="6" t="inlineStr">
        <is>
          <t>n (kriter sayısı)</t>
        </is>
      </c>
      <c r="B37" s="9" t="n">
        <v>5</v>
      </c>
    </row>
    <row r="38">
      <c r="A38" s="6" t="inlineStr">
        <is>
          <t>CI = (λ_max - n) / (n - 1)</t>
        </is>
      </c>
      <c r="B38" s="11">
        <f>(B36-B37)/(B37-1)</f>
        <v/>
      </c>
    </row>
    <row r="39">
      <c r="A39" s="6" t="inlineStr">
        <is>
          <t>RI (n=5)</t>
        </is>
      </c>
      <c r="B39" s="11" t="n">
        <v>1.11</v>
      </c>
    </row>
    <row r="40">
      <c r="A40" s="6" t="inlineStr">
        <is>
          <t>CR = CI / RI</t>
        </is>
      </c>
      <c r="B40" s="11">
        <f>B38/B39</f>
        <v/>
      </c>
    </row>
    <row r="41">
      <c r="A41" s="6" t="inlineStr">
        <is>
          <t>Tutarlılık Eşiği</t>
        </is>
      </c>
      <c r="B41" s="9" t="n">
        <v>0.1</v>
      </c>
    </row>
    <row r="42">
      <c r="A42" s="6" t="inlineStr">
        <is>
          <t>Durum</t>
        </is>
      </c>
      <c r="B42" s="12">
        <f>IF(B40&lt;=B41,"Tutarlı","Tutarsız")</f>
        <v/>
      </c>
    </row>
  </sheetData>
  <mergeCells count="4">
    <mergeCell ref="A20:F20"/>
    <mergeCell ref="A11:F11"/>
    <mergeCell ref="A3:B3"/>
    <mergeCell ref="A1:H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KATILIMCI 32 - AHP ANALİZİ</t>
        </is>
      </c>
    </row>
    <row r="3">
      <c r="A3" s="6" t="inlineStr">
        <is>
          <t>Demografik Bilgiler</t>
        </is>
      </c>
      <c r="B3" s="7" t="n"/>
    </row>
    <row r="4">
      <c r="A4" s="8" t="inlineStr">
        <is>
          <t>Cinsiyet</t>
        </is>
      </c>
      <c r="B4" s="9">
        <f>Anket_Yanitlari!B33</f>
        <v/>
      </c>
    </row>
    <row r="5">
      <c r="A5" s="8" t="inlineStr">
        <is>
          <t>Yaş</t>
        </is>
      </c>
      <c r="B5" s="9">
        <f>Anket_Yanitlari!C33</f>
        <v/>
      </c>
    </row>
    <row r="6">
      <c r="A6" s="8" t="inlineStr">
        <is>
          <t>Eğitim</t>
        </is>
      </c>
      <c r="B6" s="9">
        <f>Anket_Yanitlari!D33</f>
        <v/>
      </c>
    </row>
    <row r="7">
      <c r="A7" s="8" t="inlineStr">
        <is>
          <t>Meslek</t>
        </is>
      </c>
      <c r="B7" s="9">
        <f>Anket_Yanitlari!E33</f>
        <v/>
      </c>
    </row>
    <row r="8">
      <c r="A8" s="8" t="inlineStr">
        <is>
          <t>Alışveriş Sıklığı</t>
        </is>
      </c>
      <c r="B8" s="9">
        <f>Anket_Yanitlari!F33</f>
        <v/>
      </c>
    </row>
    <row r="9">
      <c r="A9" s="8" t="inlineStr">
        <is>
          <t>Cihaz</t>
        </is>
      </c>
      <c r="B9" s="9">
        <f>Anket_Yanitlari!G33</f>
        <v/>
      </c>
    </row>
    <row r="11">
      <c r="A11" s="6" t="inlineStr">
        <is>
          <t>İkili Karşılaştırma Matrisi (A)</t>
        </is>
      </c>
      <c r="B11" s="10" t="n"/>
      <c r="C11" s="10" t="n"/>
      <c r="D11" s="10" t="n"/>
      <c r="E11" s="10" t="n"/>
      <c r="F11" s="7" t="n"/>
    </row>
    <row r="12">
      <c r="B12" s="6" t="inlineStr">
        <is>
          <t>Ödeme</t>
        </is>
      </c>
      <c r="C12" s="6" t="inlineStr">
        <is>
          <t>Kullanıcı Deneyimi</t>
        </is>
      </c>
      <c r="D12" s="6" t="inlineStr">
        <is>
          <t>Kargo</t>
        </is>
      </c>
      <c r="E12" s="6" t="inlineStr">
        <is>
          <t>Müşteri Yorumları</t>
        </is>
      </c>
      <c r="F12" s="6" t="inlineStr">
        <is>
          <t>Fiyatlandırma</t>
        </is>
      </c>
    </row>
    <row r="13">
      <c r="A13" s="6" t="inlineStr">
        <is>
          <t>Ödeme</t>
        </is>
      </c>
      <c r="B13" s="11" t="n">
        <v>1</v>
      </c>
      <c r="C13" s="11">
        <f>Anket_Yanitlari!H33</f>
        <v/>
      </c>
      <c r="D13" s="11">
        <f>Anket_Yanitlari!I33</f>
        <v/>
      </c>
      <c r="E13" s="11">
        <f>Anket_Yanitlari!J33</f>
        <v/>
      </c>
      <c r="F13" s="11">
        <f>Anket_Yanitlari!K33</f>
        <v/>
      </c>
    </row>
    <row r="14">
      <c r="A14" s="6" t="inlineStr">
        <is>
          <t>Kullanıcı Deneyimi</t>
        </is>
      </c>
      <c r="B14" s="11">
        <f>1/C13</f>
        <v/>
      </c>
      <c r="C14" s="11" t="n">
        <v>1</v>
      </c>
      <c r="D14" s="11">
        <f>Anket_Yanitlari!L33</f>
        <v/>
      </c>
      <c r="E14" s="11">
        <f>Anket_Yanitlari!M33</f>
        <v/>
      </c>
      <c r="F14" s="11">
        <f>Anket_Yanitlari!N33</f>
        <v/>
      </c>
    </row>
    <row r="15">
      <c r="A15" s="6" t="inlineStr">
        <is>
          <t>Kargo</t>
        </is>
      </c>
      <c r="B15" s="11">
        <f>1/D13</f>
        <v/>
      </c>
      <c r="C15" s="11">
        <f>1/D14</f>
        <v/>
      </c>
      <c r="D15" s="11" t="n">
        <v>1</v>
      </c>
      <c r="E15" s="11">
        <f>Anket_Yanitlari!O33</f>
        <v/>
      </c>
      <c r="F15" s="11">
        <f>Anket_Yanitlari!P33</f>
        <v/>
      </c>
    </row>
    <row r="16">
      <c r="A16" s="6" t="inlineStr">
        <is>
          <t>Müşteri Yorumları</t>
        </is>
      </c>
      <c r="B16" s="11">
        <f>1/E13</f>
        <v/>
      </c>
      <c r="C16" s="11">
        <f>1/E14</f>
        <v/>
      </c>
      <c r="D16" s="11">
        <f>1/E15</f>
        <v/>
      </c>
      <c r="E16" s="11" t="n">
        <v>1</v>
      </c>
      <c r="F16" s="11">
        <f>Anket_Yanitlari!Q33</f>
        <v/>
      </c>
    </row>
    <row r="17">
      <c r="A17" s="6" t="inlineStr">
        <is>
          <t>Fiyatlandırma</t>
        </is>
      </c>
      <c r="B17" s="11">
        <f>1/F13</f>
        <v/>
      </c>
      <c r="C17" s="11">
        <f>1/F14</f>
        <v/>
      </c>
      <c r="D17" s="11">
        <f>1/F15</f>
        <v/>
      </c>
      <c r="E17" s="11">
        <f>1/F16</f>
        <v/>
      </c>
      <c r="F17" s="11" t="n">
        <v>1</v>
      </c>
    </row>
    <row r="18">
      <c r="A18" s="6" t="inlineStr">
        <is>
          <t>Sütun Toplamı</t>
        </is>
      </c>
      <c r="B18" s="11">
        <f>SUM(B13:B17)</f>
        <v/>
      </c>
      <c r="C18" s="11">
        <f>SUM(C13:C17)</f>
        <v/>
      </c>
      <c r="D18" s="11">
        <f>SUM(D13:D17)</f>
        <v/>
      </c>
      <c r="E18" s="11">
        <f>SUM(E13:E17)</f>
        <v/>
      </c>
      <c r="F18" s="11">
        <f>SUM(F13:F17)</f>
        <v/>
      </c>
    </row>
    <row r="20">
      <c r="A20" s="6" t="inlineStr">
        <is>
          <t>Normalize Matris (N)</t>
        </is>
      </c>
      <c r="B20" s="10" t="n"/>
      <c r="C20" s="10" t="n"/>
      <c r="D20" s="10" t="n"/>
      <c r="E20" s="10" t="n"/>
      <c r="F20" s="7" t="n"/>
    </row>
    <row r="21">
      <c r="B21" s="6" t="inlineStr">
        <is>
          <t>Ödeme</t>
        </is>
      </c>
      <c r="C21" s="6" t="inlineStr">
        <is>
          <t>Kullanıcı Deneyimi</t>
        </is>
      </c>
      <c r="D21" s="6" t="inlineStr">
        <is>
          <t>Kargo</t>
        </is>
      </c>
      <c r="E21" s="6" t="inlineStr">
        <is>
          <t>Müşteri Yorumları</t>
        </is>
      </c>
      <c r="F21" s="6" t="inlineStr">
        <is>
          <t>Fiyatlandırma</t>
        </is>
      </c>
    </row>
    <row r="22">
      <c r="A22" s="6" t="inlineStr">
        <is>
          <t>Ödeme</t>
        </is>
      </c>
      <c r="B22" s="11">
        <f>B13/B18</f>
        <v/>
      </c>
      <c r="C22" s="11">
        <f>C13/C18</f>
        <v/>
      </c>
      <c r="D22" s="11">
        <f>D13/D18</f>
        <v/>
      </c>
      <c r="E22" s="11">
        <f>E13/E18</f>
        <v/>
      </c>
      <c r="F22" s="11">
        <f>F13/F18</f>
        <v/>
      </c>
    </row>
    <row r="23">
      <c r="A23" s="6" t="inlineStr">
        <is>
          <t>Kullanıcı Deneyimi</t>
        </is>
      </c>
      <c r="B23" s="11">
        <f>B14/B18</f>
        <v/>
      </c>
      <c r="C23" s="11">
        <f>C14/C18</f>
        <v/>
      </c>
      <c r="D23" s="11">
        <f>D14/D18</f>
        <v/>
      </c>
      <c r="E23" s="11">
        <f>E14/E18</f>
        <v/>
      </c>
      <c r="F23" s="11">
        <f>F14/F18</f>
        <v/>
      </c>
    </row>
    <row r="24">
      <c r="A24" s="6" t="inlineStr">
        <is>
          <t>Kargo</t>
        </is>
      </c>
      <c r="B24" s="11">
        <f>B15/B18</f>
        <v/>
      </c>
      <c r="C24" s="11">
        <f>C15/C18</f>
        <v/>
      </c>
      <c r="D24" s="11">
        <f>D15/D18</f>
        <v/>
      </c>
      <c r="E24" s="11">
        <f>E15/E18</f>
        <v/>
      </c>
      <c r="F24" s="11">
        <f>F15/F18</f>
        <v/>
      </c>
    </row>
    <row r="25">
      <c r="A25" s="6" t="inlineStr">
        <is>
          <t>Müşteri Yorumları</t>
        </is>
      </c>
      <c r="B25" s="11">
        <f>B16/B18</f>
        <v/>
      </c>
      <c r="C25" s="11">
        <f>C16/C18</f>
        <v/>
      </c>
      <c r="D25" s="11">
        <f>D16/D18</f>
        <v/>
      </c>
      <c r="E25" s="11">
        <f>E16/E18</f>
        <v/>
      </c>
      <c r="F25" s="11">
        <f>F16/F18</f>
        <v/>
      </c>
    </row>
    <row r="26">
      <c r="A26" s="6" t="inlineStr">
        <is>
          <t>Fiyatlandırma</t>
        </is>
      </c>
      <c r="B26" s="11">
        <f>B17/B18</f>
        <v/>
      </c>
      <c r="C26" s="11">
        <f>C17/C18</f>
        <v/>
      </c>
      <c r="D26" s="11">
        <f>D17/D18</f>
        <v/>
      </c>
      <c r="E26" s="11">
        <f>E17/E18</f>
        <v/>
      </c>
      <c r="F26" s="11">
        <f>F17/F18</f>
        <v/>
      </c>
    </row>
    <row r="28">
      <c r="A28" s="6" t="inlineStr">
        <is>
          <t>Kriter</t>
        </is>
      </c>
      <c r="B28" s="6" t="inlineStr">
        <is>
          <t>ÖZV (w)</t>
        </is>
      </c>
      <c r="C28" s="6" t="inlineStr">
        <is>
          <t>A·w</t>
        </is>
      </c>
      <c r="D28" s="6" t="inlineStr">
        <is>
          <t>A·w / w</t>
        </is>
      </c>
    </row>
    <row r="29">
      <c r="A29" s="6" t="inlineStr">
        <is>
          <t>Ödeme</t>
        </is>
      </c>
      <c r="B29" s="11">
        <f>AVERAGE(B22:F22)</f>
        <v/>
      </c>
      <c r="C29" s="11">
        <f>B13*$B$29+C13*$B$30+D13*$B$31+E13*$B$32+F13*$B$33</f>
        <v/>
      </c>
      <c r="D29" s="11">
        <f>C29/B29</f>
        <v/>
      </c>
    </row>
    <row r="30">
      <c r="A30" s="6" t="inlineStr">
        <is>
          <t>Kullanıcı Deneyimi</t>
        </is>
      </c>
      <c r="B30" s="11">
        <f>AVERAGE(B23:F23)</f>
        <v/>
      </c>
      <c r="C30" s="11">
        <f>B14*$B$29+C14*$B$30+D14*$B$31+E14*$B$32+F14*$B$33</f>
        <v/>
      </c>
      <c r="D30" s="11">
        <f>C30/B30</f>
        <v/>
      </c>
    </row>
    <row r="31">
      <c r="A31" s="6" t="inlineStr">
        <is>
          <t>Kargo</t>
        </is>
      </c>
      <c r="B31" s="11">
        <f>AVERAGE(B24:F24)</f>
        <v/>
      </c>
      <c r="C31" s="11">
        <f>B15*$B$29+C15*$B$30+D15*$B$31+E15*$B$32+F15*$B$33</f>
        <v/>
      </c>
      <c r="D31" s="11">
        <f>C31/B31</f>
        <v/>
      </c>
    </row>
    <row r="32">
      <c r="A32" s="6" t="inlineStr">
        <is>
          <t>Müşteri Yorumları</t>
        </is>
      </c>
      <c r="B32" s="11">
        <f>AVERAGE(B25:F25)</f>
        <v/>
      </c>
      <c r="C32" s="11">
        <f>B16*$B$29+C16*$B$30+D16*$B$31+E16*$B$32+F16*$B$33</f>
        <v/>
      </c>
      <c r="D32" s="11">
        <f>C32/B32</f>
        <v/>
      </c>
    </row>
    <row r="33">
      <c r="A33" s="6" t="inlineStr">
        <is>
          <t>Fiyatlandırma</t>
        </is>
      </c>
      <c r="B33" s="11">
        <f>AVERAGE(B26:F26)</f>
        <v/>
      </c>
      <c r="C33" s="11">
        <f>B17*$B$29+C17*$B$30+D17*$B$31+E17*$B$32+F17*$B$33</f>
        <v/>
      </c>
      <c r="D33" s="11">
        <f>C33/B33</f>
        <v/>
      </c>
    </row>
    <row r="34">
      <c r="A34" s="6" t="inlineStr">
        <is>
          <t>Toplam</t>
        </is>
      </c>
      <c r="B34" s="11">
        <f>SUM(B29:B33)</f>
        <v/>
      </c>
    </row>
    <row r="36">
      <c r="A36" s="6" t="inlineStr">
        <is>
          <t>λ_max (ENBÖZD)</t>
        </is>
      </c>
      <c r="B36" s="11">
        <f>AVERAGE(D29:D33)</f>
        <v/>
      </c>
    </row>
    <row r="37">
      <c r="A37" s="6" t="inlineStr">
        <is>
          <t>n (kriter sayısı)</t>
        </is>
      </c>
      <c r="B37" s="9" t="n">
        <v>5</v>
      </c>
    </row>
    <row r="38">
      <c r="A38" s="6" t="inlineStr">
        <is>
          <t>CI = (λ_max - n) / (n - 1)</t>
        </is>
      </c>
      <c r="B38" s="11">
        <f>(B36-B37)/(B37-1)</f>
        <v/>
      </c>
    </row>
    <row r="39">
      <c r="A39" s="6" t="inlineStr">
        <is>
          <t>RI (n=5)</t>
        </is>
      </c>
      <c r="B39" s="11" t="n">
        <v>1.11</v>
      </c>
    </row>
    <row r="40">
      <c r="A40" s="6" t="inlineStr">
        <is>
          <t>CR = CI / RI</t>
        </is>
      </c>
      <c r="B40" s="11">
        <f>B38/B39</f>
        <v/>
      </c>
    </row>
    <row r="41">
      <c r="A41" s="6" t="inlineStr">
        <is>
          <t>Tutarlılık Eşiği</t>
        </is>
      </c>
      <c r="B41" s="9" t="n">
        <v>0.1</v>
      </c>
    </row>
    <row r="42">
      <c r="A42" s="6" t="inlineStr">
        <is>
          <t>Durum</t>
        </is>
      </c>
      <c r="B42" s="12">
        <f>IF(B40&lt;=B41,"Tutarlı","Tutarsız")</f>
        <v/>
      </c>
    </row>
  </sheetData>
  <mergeCells count="4">
    <mergeCell ref="A20:F20"/>
    <mergeCell ref="A11:F11"/>
    <mergeCell ref="A3:B3"/>
    <mergeCell ref="A1:H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KATILIMCI 33 - AHP ANALİZİ</t>
        </is>
      </c>
    </row>
    <row r="3">
      <c r="A3" s="6" t="inlineStr">
        <is>
          <t>Demografik Bilgiler</t>
        </is>
      </c>
      <c r="B3" s="7" t="n"/>
    </row>
    <row r="4">
      <c r="A4" s="8" t="inlineStr">
        <is>
          <t>Cinsiyet</t>
        </is>
      </c>
      <c r="B4" s="9">
        <f>Anket_Yanitlari!B34</f>
        <v/>
      </c>
    </row>
    <row r="5">
      <c r="A5" s="8" t="inlineStr">
        <is>
          <t>Yaş</t>
        </is>
      </c>
      <c r="B5" s="9">
        <f>Anket_Yanitlari!C34</f>
        <v/>
      </c>
    </row>
    <row r="6">
      <c r="A6" s="8" t="inlineStr">
        <is>
          <t>Eğitim</t>
        </is>
      </c>
      <c r="B6" s="9">
        <f>Anket_Yanitlari!D34</f>
        <v/>
      </c>
    </row>
    <row r="7">
      <c r="A7" s="8" t="inlineStr">
        <is>
          <t>Meslek</t>
        </is>
      </c>
      <c r="B7" s="9">
        <f>Anket_Yanitlari!E34</f>
        <v/>
      </c>
    </row>
    <row r="8">
      <c r="A8" s="8" t="inlineStr">
        <is>
          <t>Alışveriş Sıklığı</t>
        </is>
      </c>
      <c r="B8" s="9">
        <f>Anket_Yanitlari!F34</f>
        <v/>
      </c>
    </row>
    <row r="9">
      <c r="A9" s="8" t="inlineStr">
        <is>
          <t>Cihaz</t>
        </is>
      </c>
      <c r="B9" s="9">
        <f>Anket_Yanitlari!G34</f>
        <v/>
      </c>
    </row>
    <row r="11">
      <c r="A11" s="6" t="inlineStr">
        <is>
          <t>İkili Karşılaştırma Matrisi (A)</t>
        </is>
      </c>
      <c r="B11" s="10" t="n"/>
      <c r="C11" s="10" t="n"/>
      <c r="D11" s="10" t="n"/>
      <c r="E11" s="10" t="n"/>
      <c r="F11" s="7" t="n"/>
    </row>
    <row r="12">
      <c r="B12" s="6" t="inlineStr">
        <is>
          <t>Ödeme</t>
        </is>
      </c>
      <c r="C12" s="6" t="inlineStr">
        <is>
          <t>Kullanıcı Deneyimi</t>
        </is>
      </c>
      <c r="D12" s="6" t="inlineStr">
        <is>
          <t>Kargo</t>
        </is>
      </c>
      <c r="E12" s="6" t="inlineStr">
        <is>
          <t>Müşteri Yorumları</t>
        </is>
      </c>
      <c r="F12" s="6" t="inlineStr">
        <is>
          <t>Fiyatlandırma</t>
        </is>
      </c>
    </row>
    <row r="13">
      <c r="A13" s="6" t="inlineStr">
        <is>
          <t>Ödeme</t>
        </is>
      </c>
      <c r="B13" s="11" t="n">
        <v>1</v>
      </c>
      <c r="C13" s="11">
        <f>Anket_Yanitlari!H34</f>
        <v/>
      </c>
      <c r="D13" s="11">
        <f>Anket_Yanitlari!I34</f>
        <v/>
      </c>
      <c r="E13" s="11">
        <f>Anket_Yanitlari!J34</f>
        <v/>
      </c>
      <c r="F13" s="11">
        <f>Anket_Yanitlari!K34</f>
        <v/>
      </c>
    </row>
    <row r="14">
      <c r="A14" s="6" t="inlineStr">
        <is>
          <t>Kullanıcı Deneyimi</t>
        </is>
      </c>
      <c r="B14" s="11">
        <f>1/C13</f>
        <v/>
      </c>
      <c r="C14" s="11" t="n">
        <v>1</v>
      </c>
      <c r="D14" s="11">
        <f>Anket_Yanitlari!L34</f>
        <v/>
      </c>
      <c r="E14" s="11">
        <f>Anket_Yanitlari!M34</f>
        <v/>
      </c>
      <c r="F14" s="11">
        <f>Anket_Yanitlari!N34</f>
        <v/>
      </c>
    </row>
    <row r="15">
      <c r="A15" s="6" t="inlineStr">
        <is>
          <t>Kargo</t>
        </is>
      </c>
      <c r="B15" s="11">
        <f>1/D13</f>
        <v/>
      </c>
      <c r="C15" s="11">
        <f>1/D14</f>
        <v/>
      </c>
      <c r="D15" s="11" t="n">
        <v>1</v>
      </c>
      <c r="E15" s="11">
        <f>Anket_Yanitlari!O34</f>
        <v/>
      </c>
      <c r="F15" s="11">
        <f>Anket_Yanitlari!P34</f>
        <v/>
      </c>
    </row>
    <row r="16">
      <c r="A16" s="6" t="inlineStr">
        <is>
          <t>Müşteri Yorumları</t>
        </is>
      </c>
      <c r="B16" s="11">
        <f>1/E13</f>
        <v/>
      </c>
      <c r="C16" s="11">
        <f>1/E14</f>
        <v/>
      </c>
      <c r="D16" s="11">
        <f>1/E15</f>
        <v/>
      </c>
      <c r="E16" s="11" t="n">
        <v>1</v>
      </c>
      <c r="F16" s="11">
        <f>Anket_Yanitlari!Q34</f>
        <v/>
      </c>
    </row>
    <row r="17">
      <c r="A17" s="6" t="inlineStr">
        <is>
          <t>Fiyatlandırma</t>
        </is>
      </c>
      <c r="B17" s="11">
        <f>1/F13</f>
        <v/>
      </c>
      <c r="C17" s="11">
        <f>1/F14</f>
        <v/>
      </c>
      <c r="D17" s="11">
        <f>1/F15</f>
        <v/>
      </c>
      <c r="E17" s="11">
        <f>1/F16</f>
        <v/>
      </c>
      <c r="F17" s="11" t="n">
        <v>1</v>
      </c>
    </row>
    <row r="18">
      <c r="A18" s="6" t="inlineStr">
        <is>
          <t>Sütun Toplamı</t>
        </is>
      </c>
      <c r="B18" s="11">
        <f>SUM(B13:B17)</f>
        <v/>
      </c>
      <c r="C18" s="11">
        <f>SUM(C13:C17)</f>
        <v/>
      </c>
      <c r="D18" s="11">
        <f>SUM(D13:D17)</f>
        <v/>
      </c>
      <c r="E18" s="11">
        <f>SUM(E13:E17)</f>
        <v/>
      </c>
      <c r="F18" s="11">
        <f>SUM(F13:F17)</f>
        <v/>
      </c>
    </row>
    <row r="20">
      <c r="A20" s="6" t="inlineStr">
        <is>
          <t>Normalize Matris (N)</t>
        </is>
      </c>
      <c r="B20" s="10" t="n"/>
      <c r="C20" s="10" t="n"/>
      <c r="D20" s="10" t="n"/>
      <c r="E20" s="10" t="n"/>
      <c r="F20" s="7" t="n"/>
    </row>
    <row r="21">
      <c r="B21" s="6" t="inlineStr">
        <is>
          <t>Ödeme</t>
        </is>
      </c>
      <c r="C21" s="6" t="inlineStr">
        <is>
          <t>Kullanıcı Deneyimi</t>
        </is>
      </c>
      <c r="D21" s="6" t="inlineStr">
        <is>
          <t>Kargo</t>
        </is>
      </c>
      <c r="E21" s="6" t="inlineStr">
        <is>
          <t>Müşteri Yorumları</t>
        </is>
      </c>
      <c r="F21" s="6" t="inlineStr">
        <is>
          <t>Fiyatlandırma</t>
        </is>
      </c>
    </row>
    <row r="22">
      <c r="A22" s="6" t="inlineStr">
        <is>
          <t>Ödeme</t>
        </is>
      </c>
      <c r="B22" s="11">
        <f>B13/B18</f>
        <v/>
      </c>
      <c r="C22" s="11">
        <f>C13/C18</f>
        <v/>
      </c>
      <c r="D22" s="11">
        <f>D13/D18</f>
        <v/>
      </c>
      <c r="E22" s="11">
        <f>E13/E18</f>
        <v/>
      </c>
      <c r="F22" s="11">
        <f>F13/F18</f>
        <v/>
      </c>
    </row>
    <row r="23">
      <c r="A23" s="6" t="inlineStr">
        <is>
          <t>Kullanıcı Deneyimi</t>
        </is>
      </c>
      <c r="B23" s="11">
        <f>B14/B18</f>
        <v/>
      </c>
      <c r="C23" s="11">
        <f>C14/C18</f>
        <v/>
      </c>
      <c r="D23" s="11">
        <f>D14/D18</f>
        <v/>
      </c>
      <c r="E23" s="11">
        <f>E14/E18</f>
        <v/>
      </c>
      <c r="F23" s="11">
        <f>F14/F18</f>
        <v/>
      </c>
    </row>
    <row r="24">
      <c r="A24" s="6" t="inlineStr">
        <is>
          <t>Kargo</t>
        </is>
      </c>
      <c r="B24" s="11">
        <f>B15/B18</f>
        <v/>
      </c>
      <c r="C24" s="11">
        <f>C15/C18</f>
        <v/>
      </c>
      <c r="D24" s="11">
        <f>D15/D18</f>
        <v/>
      </c>
      <c r="E24" s="11">
        <f>E15/E18</f>
        <v/>
      </c>
      <c r="F24" s="11">
        <f>F15/F18</f>
        <v/>
      </c>
    </row>
    <row r="25">
      <c r="A25" s="6" t="inlineStr">
        <is>
          <t>Müşteri Yorumları</t>
        </is>
      </c>
      <c r="B25" s="11">
        <f>B16/B18</f>
        <v/>
      </c>
      <c r="C25" s="11">
        <f>C16/C18</f>
        <v/>
      </c>
      <c r="D25" s="11">
        <f>D16/D18</f>
        <v/>
      </c>
      <c r="E25" s="11">
        <f>E16/E18</f>
        <v/>
      </c>
      <c r="F25" s="11">
        <f>F16/F18</f>
        <v/>
      </c>
    </row>
    <row r="26">
      <c r="A26" s="6" t="inlineStr">
        <is>
          <t>Fiyatlandırma</t>
        </is>
      </c>
      <c r="B26" s="11">
        <f>B17/B18</f>
        <v/>
      </c>
      <c r="C26" s="11">
        <f>C17/C18</f>
        <v/>
      </c>
      <c r="D26" s="11">
        <f>D17/D18</f>
        <v/>
      </c>
      <c r="E26" s="11">
        <f>E17/E18</f>
        <v/>
      </c>
      <c r="F26" s="11">
        <f>F17/F18</f>
        <v/>
      </c>
    </row>
    <row r="28">
      <c r="A28" s="6" t="inlineStr">
        <is>
          <t>Kriter</t>
        </is>
      </c>
      <c r="B28" s="6" t="inlineStr">
        <is>
          <t>ÖZV (w)</t>
        </is>
      </c>
      <c r="C28" s="6" t="inlineStr">
        <is>
          <t>A·w</t>
        </is>
      </c>
      <c r="D28" s="6" t="inlineStr">
        <is>
          <t>A·w / w</t>
        </is>
      </c>
    </row>
    <row r="29">
      <c r="A29" s="6" t="inlineStr">
        <is>
          <t>Ödeme</t>
        </is>
      </c>
      <c r="B29" s="11">
        <f>AVERAGE(B22:F22)</f>
        <v/>
      </c>
      <c r="C29" s="11">
        <f>B13*$B$29+C13*$B$30+D13*$B$31+E13*$B$32+F13*$B$33</f>
        <v/>
      </c>
      <c r="D29" s="11">
        <f>C29/B29</f>
        <v/>
      </c>
    </row>
    <row r="30">
      <c r="A30" s="6" t="inlineStr">
        <is>
          <t>Kullanıcı Deneyimi</t>
        </is>
      </c>
      <c r="B30" s="11">
        <f>AVERAGE(B23:F23)</f>
        <v/>
      </c>
      <c r="C30" s="11">
        <f>B14*$B$29+C14*$B$30+D14*$B$31+E14*$B$32+F14*$B$33</f>
        <v/>
      </c>
      <c r="D30" s="11">
        <f>C30/B30</f>
        <v/>
      </c>
    </row>
    <row r="31">
      <c r="A31" s="6" t="inlineStr">
        <is>
          <t>Kargo</t>
        </is>
      </c>
      <c r="B31" s="11">
        <f>AVERAGE(B24:F24)</f>
        <v/>
      </c>
      <c r="C31" s="11">
        <f>B15*$B$29+C15*$B$30+D15*$B$31+E15*$B$32+F15*$B$33</f>
        <v/>
      </c>
      <c r="D31" s="11">
        <f>C31/B31</f>
        <v/>
      </c>
    </row>
    <row r="32">
      <c r="A32" s="6" t="inlineStr">
        <is>
          <t>Müşteri Yorumları</t>
        </is>
      </c>
      <c r="B32" s="11">
        <f>AVERAGE(B25:F25)</f>
        <v/>
      </c>
      <c r="C32" s="11">
        <f>B16*$B$29+C16*$B$30+D16*$B$31+E16*$B$32+F16*$B$33</f>
        <v/>
      </c>
      <c r="D32" s="11">
        <f>C32/B32</f>
        <v/>
      </c>
    </row>
    <row r="33">
      <c r="A33" s="6" t="inlineStr">
        <is>
          <t>Fiyatlandırma</t>
        </is>
      </c>
      <c r="B33" s="11">
        <f>AVERAGE(B26:F26)</f>
        <v/>
      </c>
      <c r="C33" s="11">
        <f>B17*$B$29+C17*$B$30+D17*$B$31+E17*$B$32+F17*$B$33</f>
        <v/>
      </c>
      <c r="D33" s="11">
        <f>C33/B33</f>
        <v/>
      </c>
    </row>
    <row r="34">
      <c r="A34" s="6" t="inlineStr">
        <is>
          <t>Toplam</t>
        </is>
      </c>
      <c r="B34" s="11">
        <f>SUM(B29:B33)</f>
        <v/>
      </c>
    </row>
    <row r="36">
      <c r="A36" s="6" t="inlineStr">
        <is>
          <t>λ_max (ENBÖZD)</t>
        </is>
      </c>
      <c r="B36" s="11">
        <f>AVERAGE(D29:D33)</f>
        <v/>
      </c>
    </row>
    <row r="37">
      <c r="A37" s="6" t="inlineStr">
        <is>
          <t>n (kriter sayısı)</t>
        </is>
      </c>
      <c r="B37" s="9" t="n">
        <v>5</v>
      </c>
    </row>
    <row r="38">
      <c r="A38" s="6" t="inlineStr">
        <is>
          <t>CI = (λ_max - n) / (n - 1)</t>
        </is>
      </c>
      <c r="B38" s="11">
        <f>(B36-B37)/(B37-1)</f>
        <v/>
      </c>
    </row>
    <row r="39">
      <c r="A39" s="6" t="inlineStr">
        <is>
          <t>RI (n=5)</t>
        </is>
      </c>
      <c r="B39" s="11" t="n">
        <v>1.11</v>
      </c>
    </row>
    <row r="40">
      <c r="A40" s="6" t="inlineStr">
        <is>
          <t>CR = CI / RI</t>
        </is>
      </c>
      <c r="B40" s="11">
        <f>B38/B39</f>
        <v/>
      </c>
    </row>
    <row r="41">
      <c r="A41" s="6" t="inlineStr">
        <is>
          <t>Tutarlılık Eşiği</t>
        </is>
      </c>
      <c r="B41" s="9" t="n">
        <v>0.1</v>
      </c>
    </row>
    <row r="42">
      <c r="A42" s="6" t="inlineStr">
        <is>
          <t>Durum</t>
        </is>
      </c>
      <c r="B42" s="12">
        <f>IF(B40&lt;=B41,"Tutarlı","Tutarsız")</f>
        <v/>
      </c>
    </row>
  </sheetData>
  <mergeCells count="4">
    <mergeCell ref="A20:F20"/>
    <mergeCell ref="A11:F11"/>
    <mergeCell ref="A3:B3"/>
    <mergeCell ref="A1:H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KATILIMCI 34 - AHP ANALİZİ</t>
        </is>
      </c>
    </row>
    <row r="3">
      <c r="A3" s="6" t="inlineStr">
        <is>
          <t>Demografik Bilgiler</t>
        </is>
      </c>
      <c r="B3" s="7" t="n"/>
    </row>
    <row r="4">
      <c r="A4" s="8" t="inlineStr">
        <is>
          <t>Cinsiyet</t>
        </is>
      </c>
      <c r="B4" s="9">
        <f>Anket_Yanitlari!B35</f>
        <v/>
      </c>
    </row>
    <row r="5">
      <c r="A5" s="8" t="inlineStr">
        <is>
          <t>Yaş</t>
        </is>
      </c>
      <c r="B5" s="9">
        <f>Anket_Yanitlari!C35</f>
        <v/>
      </c>
    </row>
    <row r="6">
      <c r="A6" s="8" t="inlineStr">
        <is>
          <t>Eğitim</t>
        </is>
      </c>
      <c r="B6" s="9">
        <f>Anket_Yanitlari!D35</f>
        <v/>
      </c>
    </row>
    <row r="7">
      <c r="A7" s="8" t="inlineStr">
        <is>
          <t>Meslek</t>
        </is>
      </c>
      <c r="B7" s="9">
        <f>Anket_Yanitlari!E35</f>
        <v/>
      </c>
    </row>
    <row r="8">
      <c r="A8" s="8" t="inlineStr">
        <is>
          <t>Alışveriş Sıklığı</t>
        </is>
      </c>
      <c r="B8" s="9">
        <f>Anket_Yanitlari!F35</f>
        <v/>
      </c>
    </row>
    <row r="9">
      <c r="A9" s="8" t="inlineStr">
        <is>
          <t>Cihaz</t>
        </is>
      </c>
      <c r="B9" s="9">
        <f>Anket_Yanitlari!G35</f>
        <v/>
      </c>
    </row>
    <row r="11">
      <c r="A11" s="6" t="inlineStr">
        <is>
          <t>İkili Karşılaştırma Matrisi (A)</t>
        </is>
      </c>
      <c r="B11" s="10" t="n"/>
      <c r="C11" s="10" t="n"/>
      <c r="D11" s="10" t="n"/>
      <c r="E11" s="10" t="n"/>
      <c r="F11" s="7" t="n"/>
    </row>
    <row r="12">
      <c r="B12" s="6" t="inlineStr">
        <is>
          <t>Ödeme</t>
        </is>
      </c>
      <c r="C12" s="6" t="inlineStr">
        <is>
          <t>Kullanıcı Deneyimi</t>
        </is>
      </c>
      <c r="D12" s="6" t="inlineStr">
        <is>
          <t>Kargo</t>
        </is>
      </c>
      <c r="E12" s="6" t="inlineStr">
        <is>
          <t>Müşteri Yorumları</t>
        </is>
      </c>
      <c r="F12" s="6" t="inlineStr">
        <is>
          <t>Fiyatlandırma</t>
        </is>
      </c>
    </row>
    <row r="13">
      <c r="A13" s="6" t="inlineStr">
        <is>
          <t>Ödeme</t>
        </is>
      </c>
      <c r="B13" s="11" t="n">
        <v>1</v>
      </c>
      <c r="C13" s="11">
        <f>Anket_Yanitlari!H35</f>
        <v/>
      </c>
      <c r="D13" s="11">
        <f>Anket_Yanitlari!I35</f>
        <v/>
      </c>
      <c r="E13" s="11">
        <f>Anket_Yanitlari!J35</f>
        <v/>
      </c>
      <c r="F13" s="11">
        <f>Anket_Yanitlari!K35</f>
        <v/>
      </c>
    </row>
    <row r="14">
      <c r="A14" s="6" t="inlineStr">
        <is>
          <t>Kullanıcı Deneyimi</t>
        </is>
      </c>
      <c r="B14" s="11">
        <f>1/C13</f>
        <v/>
      </c>
      <c r="C14" s="11" t="n">
        <v>1</v>
      </c>
      <c r="D14" s="11">
        <f>Anket_Yanitlari!L35</f>
        <v/>
      </c>
      <c r="E14" s="11">
        <f>Anket_Yanitlari!M35</f>
        <v/>
      </c>
      <c r="F14" s="11">
        <f>Anket_Yanitlari!N35</f>
        <v/>
      </c>
    </row>
    <row r="15">
      <c r="A15" s="6" t="inlineStr">
        <is>
          <t>Kargo</t>
        </is>
      </c>
      <c r="B15" s="11">
        <f>1/D13</f>
        <v/>
      </c>
      <c r="C15" s="11">
        <f>1/D14</f>
        <v/>
      </c>
      <c r="D15" s="11" t="n">
        <v>1</v>
      </c>
      <c r="E15" s="11">
        <f>Anket_Yanitlari!O35</f>
        <v/>
      </c>
      <c r="F15" s="11">
        <f>Anket_Yanitlari!P35</f>
        <v/>
      </c>
    </row>
    <row r="16">
      <c r="A16" s="6" t="inlineStr">
        <is>
          <t>Müşteri Yorumları</t>
        </is>
      </c>
      <c r="B16" s="11">
        <f>1/E13</f>
        <v/>
      </c>
      <c r="C16" s="11">
        <f>1/E14</f>
        <v/>
      </c>
      <c r="D16" s="11">
        <f>1/E15</f>
        <v/>
      </c>
      <c r="E16" s="11" t="n">
        <v>1</v>
      </c>
      <c r="F16" s="11">
        <f>Anket_Yanitlari!Q35</f>
        <v/>
      </c>
    </row>
    <row r="17">
      <c r="A17" s="6" t="inlineStr">
        <is>
          <t>Fiyatlandırma</t>
        </is>
      </c>
      <c r="B17" s="11">
        <f>1/F13</f>
        <v/>
      </c>
      <c r="C17" s="11">
        <f>1/F14</f>
        <v/>
      </c>
      <c r="D17" s="11">
        <f>1/F15</f>
        <v/>
      </c>
      <c r="E17" s="11">
        <f>1/F16</f>
        <v/>
      </c>
      <c r="F17" s="11" t="n">
        <v>1</v>
      </c>
    </row>
    <row r="18">
      <c r="A18" s="6" t="inlineStr">
        <is>
          <t>Sütun Toplamı</t>
        </is>
      </c>
      <c r="B18" s="11">
        <f>SUM(B13:B17)</f>
        <v/>
      </c>
      <c r="C18" s="11">
        <f>SUM(C13:C17)</f>
        <v/>
      </c>
      <c r="D18" s="11">
        <f>SUM(D13:D17)</f>
        <v/>
      </c>
      <c r="E18" s="11">
        <f>SUM(E13:E17)</f>
        <v/>
      </c>
      <c r="F18" s="11">
        <f>SUM(F13:F17)</f>
        <v/>
      </c>
    </row>
    <row r="20">
      <c r="A20" s="6" t="inlineStr">
        <is>
          <t>Normalize Matris (N)</t>
        </is>
      </c>
      <c r="B20" s="10" t="n"/>
      <c r="C20" s="10" t="n"/>
      <c r="D20" s="10" t="n"/>
      <c r="E20" s="10" t="n"/>
      <c r="F20" s="7" t="n"/>
    </row>
    <row r="21">
      <c r="B21" s="6" t="inlineStr">
        <is>
          <t>Ödeme</t>
        </is>
      </c>
      <c r="C21" s="6" t="inlineStr">
        <is>
          <t>Kullanıcı Deneyimi</t>
        </is>
      </c>
      <c r="D21" s="6" t="inlineStr">
        <is>
          <t>Kargo</t>
        </is>
      </c>
      <c r="E21" s="6" t="inlineStr">
        <is>
          <t>Müşteri Yorumları</t>
        </is>
      </c>
      <c r="F21" s="6" t="inlineStr">
        <is>
          <t>Fiyatlandırma</t>
        </is>
      </c>
    </row>
    <row r="22">
      <c r="A22" s="6" t="inlineStr">
        <is>
          <t>Ödeme</t>
        </is>
      </c>
      <c r="B22" s="11">
        <f>B13/B18</f>
        <v/>
      </c>
      <c r="C22" s="11">
        <f>C13/C18</f>
        <v/>
      </c>
      <c r="D22" s="11">
        <f>D13/D18</f>
        <v/>
      </c>
      <c r="E22" s="11">
        <f>E13/E18</f>
        <v/>
      </c>
      <c r="F22" s="11">
        <f>F13/F18</f>
        <v/>
      </c>
    </row>
    <row r="23">
      <c r="A23" s="6" t="inlineStr">
        <is>
          <t>Kullanıcı Deneyimi</t>
        </is>
      </c>
      <c r="B23" s="11">
        <f>B14/B18</f>
        <v/>
      </c>
      <c r="C23" s="11">
        <f>C14/C18</f>
        <v/>
      </c>
      <c r="D23" s="11">
        <f>D14/D18</f>
        <v/>
      </c>
      <c r="E23" s="11">
        <f>E14/E18</f>
        <v/>
      </c>
      <c r="F23" s="11">
        <f>F14/F18</f>
        <v/>
      </c>
    </row>
    <row r="24">
      <c r="A24" s="6" t="inlineStr">
        <is>
          <t>Kargo</t>
        </is>
      </c>
      <c r="B24" s="11">
        <f>B15/B18</f>
        <v/>
      </c>
      <c r="C24" s="11">
        <f>C15/C18</f>
        <v/>
      </c>
      <c r="D24" s="11">
        <f>D15/D18</f>
        <v/>
      </c>
      <c r="E24" s="11">
        <f>E15/E18</f>
        <v/>
      </c>
      <c r="F24" s="11">
        <f>F15/F18</f>
        <v/>
      </c>
    </row>
    <row r="25">
      <c r="A25" s="6" t="inlineStr">
        <is>
          <t>Müşteri Yorumları</t>
        </is>
      </c>
      <c r="B25" s="11">
        <f>B16/B18</f>
        <v/>
      </c>
      <c r="C25" s="11">
        <f>C16/C18</f>
        <v/>
      </c>
      <c r="D25" s="11">
        <f>D16/D18</f>
        <v/>
      </c>
      <c r="E25" s="11">
        <f>E16/E18</f>
        <v/>
      </c>
      <c r="F25" s="11">
        <f>F16/F18</f>
        <v/>
      </c>
    </row>
    <row r="26">
      <c r="A26" s="6" t="inlineStr">
        <is>
          <t>Fiyatlandırma</t>
        </is>
      </c>
      <c r="B26" s="11">
        <f>B17/B18</f>
        <v/>
      </c>
      <c r="C26" s="11">
        <f>C17/C18</f>
        <v/>
      </c>
      <c r="D26" s="11">
        <f>D17/D18</f>
        <v/>
      </c>
      <c r="E26" s="11">
        <f>E17/E18</f>
        <v/>
      </c>
      <c r="F26" s="11">
        <f>F17/F18</f>
        <v/>
      </c>
    </row>
    <row r="28">
      <c r="A28" s="6" t="inlineStr">
        <is>
          <t>Kriter</t>
        </is>
      </c>
      <c r="B28" s="6" t="inlineStr">
        <is>
          <t>ÖZV (w)</t>
        </is>
      </c>
      <c r="C28" s="6" t="inlineStr">
        <is>
          <t>A·w</t>
        </is>
      </c>
      <c r="D28" s="6" t="inlineStr">
        <is>
          <t>A·w / w</t>
        </is>
      </c>
    </row>
    <row r="29">
      <c r="A29" s="6" t="inlineStr">
        <is>
          <t>Ödeme</t>
        </is>
      </c>
      <c r="B29" s="11">
        <f>AVERAGE(B22:F22)</f>
        <v/>
      </c>
      <c r="C29" s="11">
        <f>B13*$B$29+C13*$B$30+D13*$B$31+E13*$B$32+F13*$B$33</f>
        <v/>
      </c>
      <c r="D29" s="11">
        <f>C29/B29</f>
        <v/>
      </c>
    </row>
    <row r="30">
      <c r="A30" s="6" t="inlineStr">
        <is>
          <t>Kullanıcı Deneyimi</t>
        </is>
      </c>
      <c r="B30" s="11">
        <f>AVERAGE(B23:F23)</f>
        <v/>
      </c>
      <c r="C30" s="11">
        <f>B14*$B$29+C14*$B$30+D14*$B$31+E14*$B$32+F14*$B$33</f>
        <v/>
      </c>
      <c r="D30" s="11">
        <f>C30/B30</f>
        <v/>
      </c>
    </row>
    <row r="31">
      <c r="A31" s="6" t="inlineStr">
        <is>
          <t>Kargo</t>
        </is>
      </c>
      <c r="B31" s="11">
        <f>AVERAGE(B24:F24)</f>
        <v/>
      </c>
      <c r="C31" s="11">
        <f>B15*$B$29+C15*$B$30+D15*$B$31+E15*$B$32+F15*$B$33</f>
        <v/>
      </c>
      <c r="D31" s="11">
        <f>C31/B31</f>
        <v/>
      </c>
    </row>
    <row r="32">
      <c r="A32" s="6" t="inlineStr">
        <is>
          <t>Müşteri Yorumları</t>
        </is>
      </c>
      <c r="B32" s="11">
        <f>AVERAGE(B25:F25)</f>
        <v/>
      </c>
      <c r="C32" s="11">
        <f>B16*$B$29+C16*$B$30+D16*$B$31+E16*$B$32+F16*$B$33</f>
        <v/>
      </c>
      <c r="D32" s="11">
        <f>C32/B32</f>
        <v/>
      </c>
    </row>
    <row r="33">
      <c r="A33" s="6" t="inlineStr">
        <is>
          <t>Fiyatlandırma</t>
        </is>
      </c>
      <c r="B33" s="11">
        <f>AVERAGE(B26:F26)</f>
        <v/>
      </c>
      <c r="C33" s="11">
        <f>B17*$B$29+C17*$B$30+D17*$B$31+E17*$B$32+F17*$B$33</f>
        <v/>
      </c>
      <c r="D33" s="11">
        <f>C33/B33</f>
        <v/>
      </c>
    </row>
    <row r="34">
      <c r="A34" s="6" t="inlineStr">
        <is>
          <t>Toplam</t>
        </is>
      </c>
      <c r="B34" s="11">
        <f>SUM(B29:B33)</f>
        <v/>
      </c>
    </row>
    <row r="36">
      <c r="A36" s="6" t="inlineStr">
        <is>
          <t>λ_max (ENBÖZD)</t>
        </is>
      </c>
      <c r="B36" s="11">
        <f>AVERAGE(D29:D33)</f>
        <v/>
      </c>
    </row>
    <row r="37">
      <c r="A37" s="6" t="inlineStr">
        <is>
          <t>n (kriter sayısı)</t>
        </is>
      </c>
      <c r="B37" s="9" t="n">
        <v>5</v>
      </c>
    </row>
    <row r="38">
      <c r="A38" s="6" t="inlineStr">
        <is>
          <t>CI = (λ_max - n) / (n - 1)</t>
        </is>
      </c>
      <c r="B38" s="11">
        <f>(B36-B37)/(B37-1)</f>
        <v/>
      </c>
    </row>
    <row r="39">
      <c r="A39" s="6" t="inlineStr">
        <is>
          <t>RI (n=5)</t>
        </is>
      </c>
      <c r="B39" s="11" t="n">
        <v>1.11</v>
      </c>
    </row>
    <row r="40">
      <c r="A40" s="6" t="inlineStr">
        <is>
          <t>CR = CI / RI</t>
        </is>
      </c>
      <c r="B40" s="11">
        <f>B38/B39</f>
        <v/>
      </c>
    </row>
    <row r="41">
      <c r="A41" s="6" t="inlineStr">
        <is>
          <t>Tutarlılık Eşiği</t>
        </is>
      </c>
      <c r="B41" s="9" t="n">
        <v>0.1</v>
      </c>
    </row>
    <row r="42">
      <c r="A42" s="6" t="inlineStr">
        <is>
          <t>Durum</t>
        </is>
      </c>
      <c r="B42" s="12">
        <f>IF(B40&lt;=B41,"Tutarlı","Tutarsız")</f>
        <v/>
      </c>
    </row>
  </sheetData>
  <mergeCells count="4">
    <mergeCell ref="A20:F20"/>
    <mergeCell ref="A11:F11"/>
    <mergeCell ref="A3:B3"/>
    <mergeCell ref="A1:H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KATILIMCI 35 - AHP ANALİZİ</t>
        </is>
      </c>
    </row>
    <row r="3">
      <c r="A3" s="6" t="inlineStr">
        <is>
          <t>Demografik Bilgiler</t>
        </is>
      </c>
      <c r="B3" s="7" t="n"/>
    </row>
    <row r="4">
      <c r="A4" s="8" t="inlineStr">
        <is>
          <t>Cinsiyet</t>
        </is>
      </c>
      <c r="B4" s="9">
        <f>Anket_Yanitlari!B36</f>
        <v/>
      </c>
    </row>
    <row r="5">
      <c r="A5" s="8" t="inlineStr">
        <is>
          <t>Yaş</t>
        </is>
      </c>
      <c r="B5" s="9">
        <f>Anket_Yanitlari!C36</f>
        <v/>
      </c>
    </row>
    <row r="6">
      <c r="A6" s="8" t="inlineStr">
        <is>
          <t>Eğitim</t>
        </is>
      </c>
      <c r="B6" s="9">
        <f>Anket_Yanitlari!D36</f>
        <v/>
      </c>
    </row>
    <row r="7">
      <c r="A7" s="8" t="inlineStr">
        <is>
          <t>Meslek</t>
        </is>
      </c>
      <c r="B7" s="9">
        <f>Anket_Yanitlari!E36</f>
        <v/>
      </c>
    </row>
    <row r="8">
      <c r="A8" s="8" t="inlineStr">
        <is>
          <t>Alışveriş Sıklığı</t>
        </is>
      </c>
      <c r="B8" s="9">
        <f>Anket_Yanitlari!F36</f>
        <v/>
      </c>
    </row>
    <row r="9">
      <c r="A9" s="8" t="inlineStr">
        <is>
          <t>Cihaz</t>
        </is>
      </c>
      <c r="B9" s="9">
        <f>Anket_Yanitlari!G36</f>
        <v/>
      </c>
    </row>
    <row r="11">
      <c r="A11" s="6" t="inlineStr">
        <is>
          <t>İkili Karşılaştırma Matrisi (A)</t>
        </is>
      </c>
      <c r="B11" s="10" t="n"/>
      <c r="C11" s="10" t="n"/>
      <c r="D11" s="10" t="n"/>
      <c r="E11" s="10" t="n"/>
      <c r="F11" s="7" t="n"/>
    </row>
    <row r="12">
      <c r="B12" s="6" t="inlineStr">
        <is>
          <t>Ödeme</t>
        </is>
      </c>
      <c r="C12" s="6" t="inlineStr">
        <is>
          <t>Kullanıcı Deneyimi</t>
        </is>
      </c>
      <c r="D12" s="6" t="inlineStr">
        <is>
          <t>Kargo</t>
        </is>
      </c>
      <c r="E12" s="6" t="inlineStr">
        <is>
          <t>Müşteri Yorumları</t>
        </is>
      </c>
      <c r="F12" s="6" t="inlineStr">
        <is>
          <t>Fiyatlandırma</t>
        </is>
      </c>
    </row>
    <row r="13">
      <c r="A13" s="6" t="inlineStr">
        <is>
          <t>Ödeme</t>
        </is>
      </c>
      <c r="B13" s="11" t="n">
        <v>1</v>
      </c>
      <c r="C13" s="11">
        <f>Anket_Yanitlari!H36</f>
        <v/>
      </c>
      <c r="D13" s="11">
        <f>Anket_Yanitlari!I36</f>
        <v/>
      </c>
      <c r="E13" s="11">
        <f>Anket_Yanitlari!J36</f>
        <v/>
      </c>
      <c r="F13" s="11">
        <f>Anket_Yanitlari!K36</f>
        <v/>
      </c>
    </row>
    <row r="14">
      <c r="A14" s="6" t="inlineStr">
        <is>
          <t>Kullanıcı Deneyimi</t>
        </is>
      </c>
      <c r="B14" s="11">
        <f>1/C13</f>
        <v/>
      </c>
      <c r="C14" s="11" t="n">
        <v>1</v>
      </c>
      <c r="D14" s="11">
        <f>Anket_Yanitlari!L36</f>
        <v/>
      </c>
      <c r="E14" s="11">
        <f>Anket_Yanitlari!M36</f>
        <v/>
      </c>
      <c r="F14" s="11">
        <f>Anket_Yanitlari!N36</f>
        <v/>
      </c>
    </row>
    <row r="15">
      <c r="A15" s="6" t="inlineStr">
        <is>
          <t>Kargo</t>
        </is>
      </c>
      <c r="B15" s="11">
        <f>1/D13</f>
        <v/>
      </c>
      <c r="C15" s="11">
        <f>1/D14</f>
        <v/>
      </c>
      <c r="D15" s="11" t="n">
        <v>1</v>
      </c>
      <c r="E15" s="11">
        <f>Anket_Yanitlari!O36</f>
        <v/>
      </c>
      <c r="F15" s="11">
        <f>Anket_Yanitlari!P36</f>
        <v/>
      </c>
    </row>
    <row r="16">
      <c r="A16" s="6" t="inlineStr">
        <is>
          <t>Müşteri Yorumları</t>
        </is>
      </c>
      <c r="B16" s="11">
        <f>1/E13</f>
        <v/>
      </c>
      <c r="C16" s="11">
        <f>1/E14</f>
        <v/>
      </c>
      <c r="D16" s="11">
        <f>1/E15</f>
        <v/>
      </c>
      <c r="E16" s="11" t="n">
        <v>1</v>
      </c>
      <c r="F16" s="11">
        <f>Anket_Yanitlari!Q36</f>
        <v/>
      </c>
    </row>
    <row r="17">
      <c r="A17" s="6" t="inlineStr">
        <is>
          <t>Fiyatlandırma</t>
        </is>
      </c>
      <c r="B17" s="11">
        <f>1/F13</f>
        <v/>
      </c>
      <c r="C17" s="11">
        <f>1/F14</f>
        <v/>
      </c>
      <c r="D17" s="11">
        <f>1/F15</f>
        <v/>
      </c>
      <c r="E17" s="11">
        <f>1/F16</f>
        <v/>
      </c>
      <c r="F17" s="11" t="n">
        <v>1</v>
      </c>
    </row>
    <row r="18">
      <c r="A18" s="6" t="inlineStr">
        <is>
          <t>Sütun Toplamı</t>
        </is>
      </c>
      <c r="B18" s="11">
        <f>SUM(B13:B17)</f>
        <v/>
      </c>
      <c r="C18" s="11">
        <f>SUM(C13:C17)</f>
        <v/>
      </c>
      <c r="D18" s="11">
        <f>SUM(D13:D17)</f>
        <v/>
      </c>
      <c r="E18" s="11">
        <f>SUM(E13:E17)</f>
        <v/>
      </c>
      <c r="F18" s="11">
        <f>SUM(F13:F17)</f>
        <v/>
      </c>
    </row>
    <row r="20">
      <c r="A20" s="6" t="inlineStr">
        <is>
          <t>Normalize Matris (N)</t>
        </is>
      </c>
      <c r="B20" s="10" t="n"/>
      <c r="C20" s="10" t="n"/>
      <c r="D20" s="10" t="n"/>
      <c r="E20" s="10" t="n"/>
      <c r="F20" s="7" t="n"/>
    </row>
    <row r="21">
      <c r="B21" s="6" t="inlineStr">
        <is>
          <t>Ödeme</t>
        </is>
      </c>
      <c r="C21" s="6" t="inlineStr">
        <is>
          <t>Kullanıcı Deneyimi</t>
        </is>
      </c>
      <c r="D21" s="6" t="inlineStr">
        <is>
          <t>Kargo</t>
        </is>
      </c>
      <c r="E21" s="6" t="inlineStr">
        <is>
          <t>Müşteri Yorumları</t>
        </is>
      </c>
      <c r="F21" s="6" t="inlineStr">
        <is>
          <t>Fiyatlandırma</t>
        </is>
      </c>
    </row>
    <row r="22">
      <c r="A22" s="6" t="inlineStr">
        <is>
          <t>Ödeme</t>
        </is>
      </c>
      <c r="B22" s="11">
        <f>B13/B18</f>
        <v/>
      </c>
      <c r="C22" s="11">
        <f>C13/C18</f>
        <v/>
      </c>
      <c r="D22" s="11">
        <f>D13/D18</f>
        <v/>
      </c>
      <c r="E22" s="11">
        <f>E13/E18</f>
        <v/>
      </c>
      <c r="F22" s="11">
        <f>F13/F18</f>
        <v/>
      </c>
    </row>
    <row r="23">
      <c r="A23" s="6" t="inlineStr">
        <is>
          <t>Kullanıcı Deneyimi</t>
        </is>
      </c>
      <c r="B23" s="11">
        <f>B14/B18</f>
        <v/>
      </c>
      <c r="C23" s="11">
        <f>C14/C18</f>
        <v/>
      </c>
      <c r="D23" s="11">
        <f>D14/D18</f>
        <v/>
      </c>
      <c r="E23" s="11">
        <f>E14/E18</f>
        <v/>
      </c>
      <c r="F23" s="11">
        <f>F14/F18</f>
        <v/>
      </c>
    </row>
    <row r="24">
      <c r="A24" s="6" t="inlineStr">
        <is>
          <t>Kargo</t>
        </is>
      </c>
      <c r="B24" s="11">
        <f>B15/B18</f>
        <v/>
      </c>
      <c r="C24" s="11">
        <f>C15/C18</f>
        <v/>
      </c>
      <c r="D24" s="11">
        <f>D15/D18</f>
        <v/>
      </c>
      <c r="E24" s="11">
        <f>E15/E18</f>
        <v/>
      </c>
      <c r="F24" s="11">
        <f>F15/F18</f>
        <v/>
      </c>
    </row>
    <row r="25">
      <c r="A25" s="6" t="inlineStr">
        <is>
          <t>Müşteri Yorumları</t>
        </is>
      </c>
      <c r="B25" s="11">
        <f>B16/B18</f>
        <v/>
      </c>
      <c r="C25" s="11">
        <f>C16/C18</f>
        <v/>
      </c>
      <c r="D25" s="11">
        <f>D16/D18</f>
        <v/>
      </c>
      <c r="E25" s="11">
        <f>E16/E18</f>
        <v/>
      </c>
      <c r="F25" s="11">
        <f>F16/F18</f>
        <v/>
      </c>
    </row>
    <row r="26">
      <c r="A26" s="6" t="inlineStr">
        <is>
          <t>Fiyatlandırma</t>
        </is>
      </c>
      <c r="B26" s="11">
        <f>B17/B18</f>
        <v/>
      </c>
      <c r="C26" s="11">
        <f>C17/C18</f>
        <v/>
      </c>
      <c r="D26" s="11">
        <f>D17/D18</f>
        <v/>
      </c>
      <c r="E26" s="11">
        <f>E17/E18</f>
        <v/>
      </c>
      <c r="F26" s="11">
        <f>F17/F18</f>
        <v/>
      </c>
    </row>
    <row r="28">
      <c r="A28" s="6" t="inlineStr">
        <is>
          <t>Kriter</t>
        </is>
      </c>
      <c r="B28" s="6" t="inlineStr">
        <is>
          <t>ÖZV (w)</t>
        </is>
      </c>
      <c r="C28" s="6" t="inlineStr">
        <is>
          <t>A·w</t>
        </is>
      </c>
      <c r="D28" s="6" t="inlineStr">
        <is>
          <t>A·w / w</t>
        </is>
      </c>
    </row>
    <row r="29">
      <c r="A29" s="6" t="inlineStr">
        <is>
          <t>Ödeme</t>
        </is>
      </c>
      <c r="B29" s="11">
        <f>AVERAGE(B22:F22)</f>
        <v/>
      </c>
      <c r="C29" s="11">
        <f>B13*$B$29+C13*$B$30+D13*$B$31+E13*$B$32+F13*$B$33</f>
        <v/>
      </c>
      <c r="D29" s="11">
        <f>C29/B29</f>
        <v/>
      </c>
    </row>
    <row r="30">
      <c r="A30" s="6" t="inlineStr">
        <is>
          <t>Kullanıcı Deneyimi</t>
        </is>
      </c>
      <c r="B30" s="11">
        <f>AVERAGE(B23:F23)</f>
        <v/>
      </c>
      <c r="C30" s="11">
        <f>B14*$B$29+C14*$B$30+D14*$B$31+E14*$B$32+F14*$B$33</f>
        <v/>
      </c>
      <c r="D30" s="11">
        <f>C30/B30</f>
        <v/>
      </c>
    </row>
    <row r="31">
      <c r="A31" s="6" t="inlineStr">
        <is>
          <t>Kargo</t>
        </is>
      </c>
      <c r="B31" s="11">
        <f>AVERAGE(B24:F24)</f>
        <v/>
      </c>
      <c r="C31" s="11">
        <f>B15*$B$29+C15*$B$30+D15*$B$31+E15*$B$32+F15*$B$33</f>
        <v/>
      </c>
      <c r="D31" s="11">
        <f>C31/B31</f>
        <v/>
      </c>
    </row>
    <row r="32">
      <c r="A32" s="6" t="inlineStr">
        <is>
          <t>Müşteri Yorumları</t>
        </is>
      </c>
      <c r="B32" s="11">
        <f>AVERAGE(B25:F25)</f>
        <v/>
      </c>
      <c r="C32" s="11">
        <f>B16*$B$29+C16*$B$30+D16*$B$31+E16*$B$32+F16*$B$33</f>
        <v/>
      </c>
      <c r="D32" s="11">
        <f>C32/B32</f>
        <v/>
      </c>
    </row>
    <row r="33">
      <c r="A33" s="6" t="inlineStr">
        <is>
          <t>Fiyatlandırma</t>
        </is>
      </c>
      <c r="B33" s="11">
        <f>AVERAGE(B26:F26)</f>
        <v/>
      </c>
      <c r="C33" s="11">
        <f>B17*$B$29+C17*$B$30+D17*$B$31+E17*$B$32+F17*$B$33</f>
        <v/>
      </c>
      <c r="D33" s="11">
        <f>C33/B33</f>
        <v/>
      </c>
    </row>
    <row r="34">
      <c r="A34" s="6" t="inlineStr">
        <is>
          <t>Toplam</t>
        </is>
      </c>
      <c r="B34" s="11">
        <f>SUM(B29:B33)</f>
        <v/>
      </c>
    </row>
    <row r="36">
      <c r="A36" s="6" t="inlineStr">
        <is>
          <t>λ_max (ENBÖZD)</t>
        </is>
      </c>
      <c r="B36" s="11">
        <f>AVERAGE(D29:D33)</f>
        <v/>
      </c>
    </row>
    <row r="37">
      <c r="A37" s="6" t="inlineStr">
        <is>
          <t>n (kriter sayısı)</t>
        </is>
      </c>
      <c r="B37" s="9" t="n">
        <v>5</v>
      </c>
    </row>
    <row r="38">
      <c r="A38" s="6" t="inlineStr">
        <is>
          <t>CI = (λ_max - n) / (n - 1)</t>
        </is>
      </c>
      <c r="B38" s="11">
        <f>(B36-B37)/(B37-1)</f>
        <v/>
      </c>
    </row>
    <row r="39">
      <c r="A39" s="6" t="inlineStr">
        <is>
          <t>RI (n=5)</t>
        </is>
      </c>
      <c r="B39" s="11" t="n">
        <v>1.11</v>
      </c>
    </row>
    <row r="40">
      <c r="A40" s="6" t="inlineStr">
        <is>
          <t>CR = CI / RI</t>
        </is>
      </c>
      <c r="B40" s="11">
        <f>B38/B39</f>
        <v/>
      </c>
    </row>
    <row r="41">
      <c r="A41" s="6" t="inlineStr">
        <is>
          <t>Tutarlılık Eşiği</t>
        </is>
      </c>
      <c r="B41" s="9" t="n">
        <v>0.1</v>
      </c>
    </row>
    <row r="42">
      <c r="A42" s="6" t="inlineStr">
        <is>
          <t>Durum</t>
        </is>
      </c>
      <c r="B42" s="12">
        <f>IF(B40&lt;=B41,"Tutarlı","Tutarsız")</f>
        <v/>
      </c>
    </row>
  </sheetData>
  <mergeCells count="4">
    <mergeCell ref="A20:F20"/>
    <mergeCell ref="A11:F11"/>
    <mergeCell ref="A3:B3"/>
    <mergeCell ref="A1:H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5" t="inlineStr">
        <is>
          <t>AHP AĞIRLIKLARI - GEOMETRİK ORTALAMA BİRLEŞTİRMESİ</t>
        </is>
      </c>
    </row>
    <row r="3">
      <c r="A3" s="6" t="inlineStr">
        <is>
          <t>Katılımcı</t>
        </is>
      </c>
      <c r="B3" s="6" t="inlineStr">
        <is>
          <t>Ödeme</t>
        </is>
      </c>
      <c r="C3" s="6" t="inlineStr">
        <is>
          <t>Kullanıcı Deneyimi</t>
        </is>
      </c>
      <c r="D3" s="6" t="inlineStr">
        <is>
          <t>Kargo</t>
        </is>
      </c>
      <c r="E3" s="6" t="inlineStr">
        <is>
          <t>Müşteri Yorumları</t>
        </is>
      </c>
      <c r="F3" s="6" t="inlineStr">
        <is>
          <t>Fiyatlandırma</t>
        </is>
      </c>
      <c r="G3" s="6" t="inlineStr">
        <is>
          <t>CR</t>
        </is>
      </c>
      <c r="H3" s="6" t="inlineStr">
        <is>
          <t>Tutarlı?</t>
        </is>
      </c>
    </row>
    <row r="4">
      <c r="A4" s="9" t="n">
        <v>1</v>
      </c>
      <c r="B4" s="11">
        <f>'Katilimci 01'!B29</f>
        <v/>
      </c>
      <c r="C4" s="11">
        <f>'Katilimci 01'!B30</f>
        <v/>
      </c>
      <c r="D4" s="11">
        <f>'Katilimci 01'!B31</f>
        <v/>
      </c>
      <c r="E4" s="11">
        <f>'Katilimci 01'!B32</f>
        <v/>
      </c>
      <c r="F4" s="11">
        <f>'Katilimci 01'!B33</f>
        <v/>
      </c>
      <c r="G4" s="11">
        <f>'Katilimci 01'!B40</f>
        <v/>
      </c>
      <c r="H4" s="13">
        <f>IF(G4&lt;=0.1,1,0)</f>
        <v/>
      </c>
    </row>
    <row r="5">
      <c r="A5" s="9" t="n">
        <v>2</v>
      </c>
      <c r="B5" s="11">
        <f>'Katilimci 02'!B29</f>
        <v/>
      </c>
      <c r="C5" s="11">
        <f>'Katilimci 02'!B30</f>
        <v/>
      </c>
      <c r="D5" s="11">
        <f>'Katilimci 02'!B31</f>
        <v/>
      </c>
      <c r="E5" s="11">
        <f>'Katilimci 02'!B32</f>
        <v/>
      </c>
      <c r="F5" s="11">
        <f>'Katilimci 02'!B33</f>
        <v/>
      </c>
      <c r="G5" s="11">
        <f>'Katilimci 02'!B40</f>
        <v/>
      </c>
      <c r="H5" s="13">
        <f>IF(G5&lt;=0.1,1,0)</f>
        <v/>
      </c>
    </row>
    <row r="6">
      <c r="A6" s="9" t="n">
        <v>3</v>
      </c>
      <c r="B6" s="11">
        <f>'Katilimci 03'!B29</f>
        <v/>
      </c>
      <c r="C6" s="11">
        <f>'Katilimci 03'!B30</f>
        <v/>
      </c>
      <c r="D6" s="11">
        <f>'Katilimci 03'!B31</f>
        <v/>
      </c>
      <c r="E6" s="11">
        <f>'Katilimci 03'!B32</f>
        <v/>
      </c>
      <c r="F6" s="11">
        <f>'Katilimci 03'!B33</f>
        <v/>
      </c>
      <c r="G6" s="11">
        <f>'Katilimci 03'!B40</f>
        <v/>
      </c>
      <c r="H6" s="13">
        <f>IF(G6&lt;=0.1,1,0)</f>
        <v/>
      </c>
    </row>
    <row r="7">
      <c r="A7" s="9" t="n">
        <v>4</v>
      </c>
      <c r="B7" s="11">
        <f>'Katilimci 04'!B29</f>
        <v/>
      </c>
      <c r="C7" s="11">
        <f>'Katilimci 04'!B30</f>
        <v/>
      </c>
      <c r="D7" s="11">
        <f>'Katilimci 04'!B31</f>
        <v/>
      </c>
      <c r="E7" s="11">
        <f>'Katilimci 04'!B32</f>
        <v/>
      </c>
      <c r="F7" s="11">
        <f>'Katilimci 04'!B33</f>
        <v/>
      </c>
      <c r="G7" s="11">
        <f>'Katilimci 04'!B40</f>
        <v/>
      </c>
      <c r="H7" s="13">
        <f>IF(G7&lt;=0.1,1,0)</f>
        <v/>
      </c>
    </row>
    <row r="8">
      <c r="A8" s="9" t="n">
        <v>5</v>
      </c>
      <c r="B8" s="11">
        <f>'Katilimci 05'!B29</f>
        <v/>
      </c>
      <c r="C8" s="11">
        <f>'Katilimci 05'!B30</f>
        <v/>
      </c>
      <c r="D8" s="11">
        <f>'Katilimci 05'!B31</f>
        <v/>
      </c>
      <c r="E8" s="11">
        <f>'Katilimci 05'!B32</f>
        <v/>
      </c>
      <c r="F8" s="11">
        <f>'Katilimci 05'!B33</f>
        <v/>
      </c>
      <c r="G8" s="11">
        <f>'Katilimci 05'!B40</f>
        <v/>
      </c>
      <c r="H8" s="13">
        <f>IF(G8&lt;=0.1,1,0)</f>
        <v/>
      </c>
    </row>
    <row r="9">
      <c r="A9" s="9" t="n">
        <v>6</v>
      </c>
      <c r="B9" s="11">
        <f>'Katilimci 06'!B29</f>
        <v/>
      </c>
      <c r="C9" s="11">
        <f>'Katilimci 06'!B30</f>
        <v/>
      </c>
      <c r="D9" s="11">
        <f>'Katilimci 06'!B31</f>
        <v/>
      </c>
      <c r="E9" s="11">
        <f>'Katilimci 06'!B32</f>
        <v/>
      </c>
      <c r="F9" s="11">
        <f>'Katilimci 06'!B33</f>
        <v/>
      </c>
      <c r="G9" s="11">
        <f>'Katilimci 06'!B40</f>
        <v/>
      </c>
      <c r="H9" s="13">
        <f>IF(G9&lt;=0.1,1,0)</f>
        <v/>
      </c>
    </row>
    <row r="10">
      <c r="A10" s="9" t="n">
        <v>7</v>
      </c>
      <c r="B10" s="11">
        <f>'Katilimci 07'!B29</f>
        <v/>
      </c>
      <c r="C10" s="11">
        <f>'Katilimci 07'!B30</f>
        <v/>
      </c>
      <c r="D10" s="11">
        <f>'Katilimci 07'!B31</f>
        <v/>
      </c>
      <c r="E10" s="11">
        <f>'Katilimci 07'!B32</f>
        <v/>
      </c>
      <c r="F10" s="11">
        <f>'Katilimci 07'!B33</f>
        <v/>
      </c>
      <c r="G10" s="11">
        <f>'Katilimci 07'!B40</f>
        <v/>
      </c>
      <c r="H10" s="13">
        <f>IF(G10&lt;=0.1,1,0)</f>
        <v/>
      </c>
    </row>
    <row r="11">
      <c r="A11" s="9" t="n">
        <v>8</v>
      </c>
      <c r="B11" s="11">
        <f>'Katilimci 08'!B29</f>
        <v/>
      </c>
      <c r="C11" s="11">
        <f>'Katilimci 08'!B30</f>
        <v/>
      </c>
      <c r="D11" s="11">
        <f>'Katilimci 08'!B31</f>
        <v/>
      </c>
      <c r="E11" s="11">
        <f>'Katilimci 08'!B32</f>
        <v/>
      </c>
      <c r="F11" s="11">
        <f>'Katilimci 08'!B33</f>
        <v/>
      </c>
      <c r="G11" s="11">
        <f>'Katilimci 08'!B40</f>
        <v/>
      </c>
      <c r="H11" s="13">
        <f>IF(G11&lt;=0.1,1,0)</f>
        <v/>
      </c>
    </row>
    <row r="12">
      <c r="A12" s="9" t="n">
        <v>9</v>
      </c>
      <c r="B12" s="11">
        <f>'Katilimci 09'!B29</f>
        <v/>
      </c>
      <c r="C12" s="11">
        <f>'Katilimci 09'!B30</f>
        <v/>
      </c>
      <c r="D12" s="11">
        <f>'Katilimci 09'!B31</f>
        <v/>
      </c>
      <c r="E12" s="11">
        <f>'Katilimci 09'!B32</f>
        <v/>
      </c>
      <c r="F12" s="11">
        <f>'Katilimci 09'!B33</f>
        <v/>
      </c>
      <c r="G12" s="11">
        <f>'Katilimci 09'!B40</f>
        <v/>
      </c>
      <c r="H12" s="13">
        <f>IF(G12&lt;=0.1,1,0)</f>
        <v/>
      </c>
    </row>
    <row r="13">
      <c r="A13" s="9" t="n">
        <v>10</v>
      </c>
      <c r="B13" s="11">
        <f>'Katilimci 10'!B29</f>
        <v/>
      </c>
      <c r="C13" s="11">
        <f>'Katilimci 10'!B30</f>
        <v/>
      </c>
      <c r="D13" s="11">
        <f>'Katilimci 10'!B31</f>
        <v/>
      </c>
      <c r="E13" s="11">
        <f>'Katilimci 10'!B32</f>
        <v/>
      </c>
      <c r="F13" s="11">
        <f>'Katilimci 10'!B33</f>
        <v/>
      </c>
      <c r="G13" s="11">
        <f>'Katilimci 10'!B40</f>
        <v/>
      </c>
      <c r="H13" s="13">
        <f>IF(G13&lt;=0.1,1,0)</f>
        <v/>
      </c>
    </row>
    <row r="14">
      <c r="A14" s="9" t="n">
        <v>11</v>
      </c>
      <c r="B14" s="11">
        <f>'Katilimci 11'!B29</f>
        <v/>
      </c>
      <c r="C14" s="11">
        <f>'Katilimci 11'!B30</f>
        <v/>
      </c>
      <c r="D14" s="11">
        <f>'Katilimci 11'!B31</f>
        <v/>
      </c>
      <c r="E14" s="11">
        <f>'Katilimci 11'!B32</f>
        <v/>
      </c>
      <c r="F14" s="11">
        <f>'Katilimci 11'!B33</f>
        <v/>
      </c>
      <c r="G14" s="11">
        <f>'Katilimci 11'!B40</f>
        <v/>
      </c>
      <c r="H14" s="13">
        <f>IF(G14&lt;=0.1,1,0)</f>
        <v/>
      </c>
    </row>
    <row r="15">
      <c r="A15" s="9" t="n">
        <v>12</v>
      </c>
      <c r="B15" s="11">
        <f>'Katilimci 12'!B29</f>
        <v/>
      </c>
      <c r="C15" s="11">
        <f>'Katilimci 12'!B30</f>
        <v/>
      </c>
      <c r="D15" s="11">
        <f>'Katilimci 12'!B31</f>
        <v/>
      </c>
      <c r="E15" s="11">
        <f>'Katilimci 12'!B32</f>
        <v/>
      </c>
      <c r="F15" s="11">
        <f>'Katilimci 12'!B33</f>
        <v/>
      </c>
      <c r="G15" s="11">
        <f>'Katilimci 12'!B40</f>
        <v/>
      </c>
      <c r="H15" s="13">
        <f>IF(G15&lt;=0.1,1,0)</f>
        <v/>
      </c>
    </row>
    <row r="16">
      <c r="A16" s="9" t="n">
        <v>13</v>
      </c>
      <c r="B16" s="11">
        <f>'Katilimci 13'!B29</f>
        <v/>
      </c>
      <c r="C16" s="11">
        <f>'Katilimci 13'!B30</f>
        <v/>
      </c>
      <c r="D16" s="11">
        <f>'Katilimci 13'!B31</f>
        <v/>
      </c>
      <c r="E16" s="11">
        <f>'Katilimci 13'!B32</f>
        <v/>
      </c>
      <c r="F16" s="11">
        <f>'Katilimci 13'!B33</f>
        <v/>
      </c>
      <c r="G16" s="11">
        <f>'Katilimci 13'!B40</f>
        <v/>
      </c>
      <c r="H16" s="13">
        <f>IF(G16&lt;=0.1,1,0)</f>
        <v/>
      </c>
    </row>
    <row r="17">
      <c r="A17" s="9" t="n">
        <v>14</v>
      </c>
      <c r="B17" s="11">
        <f>'Katilimci 14'!B29</f>
        <v/>
      </c>
      <c r="C17" s="11">
        <f>'Katilimci 14'!B30</f>
        <v/>
      </c>
      <c r="D17" s="11">
        <f>'Katilimci 14'!B31</f>
        <v/>
      </c>
      <c r="E17" s="11">
        <f>'Katilimci 14'!B32</f>
        <v/>
      </c>
      <c r="F17" s="11">
        <f>'Katilimci 14'!B33</f>
        <v/>
      </c>
      <c r="G17" s="11">
        <f>'Katilimci 14'!B40</f>
        <v/>
      </c>
      <c r="H17" s="13">
        <f>IF(G17&lt;=0.1,1,0)</f>
        <v/>
      </c>
    </row>
    <row r="18">
      <c r="A18" s="9" t="n">
        <v>15</v>
      </c>
      <c r="B18" s="11">
        <f>'Katilimci 15'!B29</f>
        <v/>
      </c>
      <c r="C18" s="11">
        <f>'Katilimci 15'!B30</f>
        <v/>
      </c>
      <c r="D18" s="11">
        <f>'Katilimci 15'!B31</f>
        <v/>
      </c>
      <c r="E18" s="11">
        <f>'Katilimci 15'!B32</f>
        <v/>
      </c>
      <c r="F18" s="11">
        <f>'Katilimci 15'!B33</f>
        <v/>
      </c>
      <c r="G18" s="11">
        <f>'Katilimci 15'!B40</f>
        <v/>
      </c>
      <c r="H18" s="13">
        <f>IF(G18&lt;=0.1,1,0)</f>
        <v/>
      </c>
    </row>
    <row r="19">
      <c r="A19" s="9" t="n">
        <v>16</v>
      </c>
      <c r="B19" s="11">
        <f>'Katilimci 16'!B29</f>
        <v/>
      </c>
      <c r="C19" s="11">
        <f>'Katilimci 16'!B30</f>
        <v/>
      </c>
      <c r="D19" s="11">
        <f>'Katilimci 16'!B31</f>
        <v/>
      </c>
      <c r="E19" s="11">
        <f>'Katilimci 16'!B32</f>
        <v/>
      </c>
      <c r="F19" s="11">
        <f>'Katilimci 16'!B33</f>
        <v/>
      </c>
      <c r="G19" s="11">
        <f>'Katilimci 16'!B40</f>
        <v/>
      </c>
      <c r="H19" s="13">
        <f>IF(G19&lt;=0.1,1,0)</f>
        <v/>
      </c>
    </row>
    <row r="20">
      <c r="A20" s="9" t="n">
        <v>17</v>
      </c>
      <c r="B20" s="11">
        <f>'Katilimci 17'!B29</f>
        <v/>
      </c>
      <c r="C20" s="11">
        <f>'Katilimci 17'!B30</f>
        <v/>
      </c>
      <c r="D20" s="11">
        <f>'Katilimci 17'!B31</f>
        <v/>
      </c>
      <c r="E20" s="11">
        <f>'Katilimci 17'!B32</f>
        <v/>
      </c>
      <c r="F20" s="11">
        <f>'Katilimci 17'!B33</f>
        <v/>
      </c>
      <c r="G20" s="11">
        <f>'Katilimci 17'!B40</f>
        <v/>
      </c>
      <c r="H20" s="13">
        <f>IF(G20&lt;=0.1,1,0)</f>
        <v/>
      </c>
    </row>
    <row r="21">
      <c r="A21" s="9" t="n">
        <v>18</v>
      </c>
      <c r="B21" s="11">
        <f>'Katilimci 18'!B29</f>
        <v/>
      </c>
      <c r="C21" s="11">
        <f>'Katilimci 18'!B30</f>
        <v/>
      </c>
      <c r="D21" s="11">
        <f>'Katilimci 18'!B31</f>
        <v/>
      </c>
      <c r="E21" s="11">
        <f>'Katilimci 18'!B32</f>
        <v/>
      </c>
      <c r="F21" s="11">
        <f>'Katilimci 18'!B33</f>
        <v/>
      </c>
      <c r="G21" s="11">
        <f>'Katilimci 18'!B40</f>
        <v/>
      </c>
      <c r="H21" s="13">
        <f>IF(G21&lt;=0.1,1,0)</f>
        <v/>
      </c>
    </row>
    <row r="22">
      <c r="A22" s="9" t="n">
        <v>19</v>
      </c>
      <c r="B22" s="11">
        <f>'Katilimci 19'!B29</f>
        <v/>
      </c>
      <c r="C22" s="11">
        <f>'Katilimci 19'!B30</f>
        <v/>
      </c>
      <c r="D22" s="11">
        <f>'Katilimci 19'!B31</f>
        <v/>
      </c>
      <c r="E22" s="11">
        <f>'Katilimci 19'!B32</f>
        <v/>
      </c>
      <c r="F22" s="11">
        <f>'Katilimci 19'!B33</f>
        <v/>
      </c>
      <c r="G22" s="11">
        <f>'Katilimci 19'!B40</f>
        <v/>
      </c>
      <c r="H22" s="13">
        <f>IF(G22&lt;=0.1,1,0)</f>
        <v/>
      </c>
    </row>
    <row r="23">
      <c r="A23" s="9" t="n">
        <v>20</v>
      </c>
      <c r="B23" s="11">
        <f>'Katilimci 20'!B29</f>
        <v/>
      </c>
      <c r="C23" s="11">
        <f>'Katilimci 20'!B30</f>
        <v/>
      </c>
      <c r="D23" s="11">
        <f>'Katilimci 20'!B31</f>
        <v/>
      </c>
      <c r="E23" s="11">
        <f>'Katilimci 20'!B32</f>
        <v/>
      </c>
      <c r="F23" s="11">
        <f>'Katilimci 20'!B33</f>
        <v/>
      </c>
      <c r="G23" s="11">
        <f>'Katilimci 20'!B40</f>
        <v/>
      </c>
      <c r="H23" s="13">
        <f>IF(G23&lt;=0.1,1,0)</f>
        <v/>
      </c>
    </row>
    <row r="24">
      <c r="A24" s="9" t="n">
        <v>21</v>
      </c>
      <c r="B24" s="11">
        <f>'Katilimci 21'!B29</f>
        <v/>
      </c>
      <c r="C24" s="11">
        <f>'Katilimci 21'!B30</f>
        <v/>
      </c>
      <c r="D24" s="11">
        <f>'Katilimci 21'!B31</f>
        <v/>
      </c>
      <c r="E24" s="11">
        <f>'Katilimci 21'!B32</f>
        <v/>
      </c>
      <c r="F24" s="11">
        <f>'Katilimci 21'!B33</f>
        <v/>
      </c>
      <c r="G24" s="11">
        <f>'Katilimci 21'!B40</f>
        <v/>
      </c>
      <c r="H24" s="13">
        <f>IF(G24&lt;=0.1,1,0)</f>
        <v/>
      </c>
    </row>
    <row r="25">
      <c r="A25" s="9" t="n">
        <v>22</v>
      </c>
      <c r="B25" s="11">
        <f>'Katilimci 22'!B29</f>
        <v/>
      </c>
      <c r="C25" s="11">
        <f>'Katilimci 22'!B30</f>
        <v/>
      </c>
      <c r="D25" s="11">
        <f>'Katilimci 22'!B31</f>
        <v/>
      </c>
      <c r="E25" s="11">
        <f>'Katilimci 22'!B32</f>
        <v/>
      </c>
      <c r="F25" s="11">
        <f>'Katilimci 22'!B33</f>
        <v/>
      </c>
      <c r="G25" s="11">
        <f>'Katilimci 22'!B40</f>
        <v/>
      </c>
      <c r="H25" s="13">
        <f>IF(G25&lt;=0.1,1,0)</f>
        <v/>
      </c>
    </row>
    <row r="26">
      <c r="A26" s="9" t="n">
        <v>23</v>
      </c>
      <c r="B26" s="11">
        <f>'Katilimci 23'!B29</f>
        <v/>
      </c>
      <c r="C26" s="11">
        <f>'Katilimci 23'!B30</f>
        <v/>
      </c>
      <c r="D26" s="11">
        <f>'Katilimci 23'!B31</f>
        <v/>
      </c>
      <c r="E26" s="11">
        <f>'Katilimci 23'!B32</f>
        <v/>
      </c>
      <c r="F26" s="11">
        <f>'Katilimci 23'!B33</f>
        <v/>
      </c>
      <c r="G26" s="11">
        <f>'Katilimci 23'!B40</f>
        <v/>
      </c>
      <c r="H26" s="13">
        <f>IF(G26&lt;=0.1,1,0)</f>
        <v/>
      </c>
    </row>
    <row r="27">
      <c r="A27" s="9" t="n">
        <v>24</v>
      </c>
      <c r="B27" s="11">
        <f>'Katilimci 24'!B29</f>
        <v/>
      </c>
      <c r="C27" s="11">
        <f>'Katilimci 24'!B30</f>
        <v/>
      </c>
      <c r="D27" s="11">
        <f>'Katilimci 24'!B31</f>
        <v/>
      </c>
      <c r="E27" s="11">
        <f>'Katilimci 24'!B32</f>
        <v/>
      </c>
      <c r="F27" s="11">
        <f>'Katilimci 24'!B33</f>
        <v/>
      </c>
      <c r="G27" s="11">
        <f>'Katilimci 24'!B40</f>
        <v/>
      </c>
      <c r="H27" s="13">
        <f>IF(G27&lt;=0.1,1,0)</f>
        <v/>
      </c>
    </row>
    <row r="28">
      <c r="A28" s="9" t="n">
        <v>25</v>
      </c>
      <c r="B28" s="11">
        <f>'Katilimci 25'!B29</f>
        <v/>
      </c>
      <c r="C28" s="11">
        <f>'Katilimci 25'!B30</f>
        <v/>
      </c>
      <c r="D28" s="11">
        <f>'Katilimci 25'!B31</f>
        <v/>
      </c>
      <c r="E28" s="11">
        <f>'Katilimci 25'!B32</f>
        <v/>
      </c>
      <c r="F28" s="11">
        <f>'Katilimci 25'!B33</f>
        <v/>
      </c>
      <c r="G28" s="11">
        <f>'Katilimci 25'!B40</f>
        <v/>
      </c>
      <c r="H28" s="13">
        <f>IF(G28&lt;=0.1,1,0)</f>
        <v/>
      </c>
    </row>
    <row r="29">
      <c r="A29" s="9" t="n">
        <v>26</v>
      </c>
      <c r="B29" s="11">
        <f>'Katilimci 26'!B29</f>
        <v/>
      </c>
      <c r="C29" s="11">
        <f>'Katilimci 26'!B30</f>
        <v/>
      </c>
      <c r="D29" s="11">
        <f>'Katilimci 26'!B31</f>
        <v/>
      </c>
      <c r="E29" s="11">
        <f>'Katilimci 26'!B32</f>
        <v/>
      </c>
      <c r="F29" s="11">
        <f>'Katilimci 26'!B33</f>
        <v/>
      </c>
      <c r="G29" s="11">
        <f>'Katilimci 26'!B40</f>
        <v/>
      </c>
      <c r="H29" s="13">
        <f>IF(G29&lt;=0.1,1,0)</f>
        <v/>
      </c>
    </row>
    <row r="30">
      <c r="A30" s="9" t="n">
        <v>27</v>
      </c>
      <c r="B30" s="11">
        <f>'Katilimci 27'!B29</f>
        <v/>
      </c>
      <c r="C30" s="11">
        <f>'Katilimci 27'!B30</f>
        <v/>
      </c>
      <c r="D30" s="11">
        <f>'Katilimci 27'!B31</f>
        <v/>
      </c>
      <c r="E30" s="11">
        <f>'Katilimci 27'!B32</f>
        <v/>
      </c>
      <c r="F30" s="11">
        <f>'Katilimci 27'!B33</f>
        <v/>
      </c>
      <c r="G30" s="11">
        <f>'Katilimci 27'!B40</f>
        <v/>
      </c>
      <c r="H30" s="13">
        <f>IF(G30&lt;=0.1,1,0)</f>
        <v/>
      </c>
    </row>
    <row r="31">
      <c r="A31" s="9" t="n">
        <v>28</v>
      </c>
      <c r="B31" s="11">
        <f>'Katilimci 28'!B29</f>
        <v/>
      </c>
      <c r="C31" s="11">
        <f>'Katilimci 28'!B30</f>
        <v/>
      </c>
      <c r="D31" s="11">
        <f>'Katilimci 28'!B31</f>
        <v/>
      </c>
      <c r="E31" s="11">
        <f>'Katilimci 28'!B32</f>
        <v/>
      </c>
      <c r="F31" s="11">
        <f>'Katilimci 28'!B33</f>
        <v/>
      </c>
      <c r="G31" s="11">
        <f>'Katilimci 28'!B40</f>
        <v/>
      </c>
      <c r="H31" s="13">
        <f>IF(G31&lt;=0.1,1,0)</f>
        <v/>
      </c>
    </row>
    <row r="32">
      <c r="A32" s="9" t="n">
        <v>29</v>
      </c>
      <c r="B32" s="11">
        <f>'Katilimci 29'!B29</f>
        <v/>
      </c>
      <c r="C32" s="11">
        <f>'Katilimci 29'!B30</f>
        <v/>
      </c>
      <c r="D32" s="11">
        <f>'Katilimci 29'!B31</f>
        <v/>
      </c>
      <c r="E32" s="11">
        <f>'Katilimci 29'!B32</f>
        <v/>
      </c>
      <c r="F32" s="11">
        <f>'Katilimci 29'!B33</f>
        <v/>
      </c>
      <c r="G32" s="11">
        <f>'Katilimci 29'!B40</f>
        <v/>
      </c>
      <c r="H32" s="13">
        <f>IF(G32&lt;=0.1,1,0)</f>
        <v/>
      </c>
    </row>
    <row r="33">
      <c r="A33" s="9" t="n">
        <v>30</v>
      </c>
      <c r="B33" s="11">
        <f>'Katilimci 30'!B29</f>
        <v/>
      </c>
      <c r="C33" s="11">
        <f>'Katilimci 30'!B30</f>
        <v/>
      </c>
      <c r="D33" s="11">
        <f>'Katilimci 30'!B31</f>
        <v/>
      </c>
      <c r="E33" s="11">
        <f>'Katilimci 30'!B32</f>
        <v/>
      </c>
      <c r="F33" s="11">
        <f>'Katilimci 30'!B33</f>
        <v/>
      </c>
      <c r="G33" s="11">
        <f>'Katilimci 30'!B40</f>
        <v/>
      </c>
      <c r="H33" s="13">
        <f>IF(G33&lt;=0.1,1,0)</f>
        <v/>
      </c>
    </row>
    <row r="34">
      <c r="A34" s="9" t="n">
        <v>31</v>
      </c>
      <c r="B34" s="11">
        <f>'Katilimci 31'!B29</f>
        <v/>
      </c>
      <c r="C34" s="11">
        <f>'Katilimci 31'!B30</f>
        <v/>
      </c>
      <c r="D34" s="11">
        <f>'Katilimci 31'!B31</f>
        <v/>
      </c>
      <c r="E34" s="11">
        <f>'Katilimci 31'!B32</f>
        <v/>
      </c>
      <c r="F34" s="11">
        <f>'Katilimci 31'!B33</f>
        <v/>
      </c>
      <c r="G34" s="11">
        <f>'Katilimci 31'!B40</f>
        <v/>
      </c>
      <c r="H34" s="13">
        <f>IF(G34&lt;=0.1,1,0)</f>
        <v/>
      </c>
    </row>
    <row r="35">
      <c r="A35" s="9" t="n">
        <v>32</v>
      </c>
      <c r="B35" s="11">
        <f>'Katilimci 32'!B29</f>
        <v/>
      </c>
      <c r="C35" s="11">
        <f>'Katilimci 32'!B30</f>
        <v/>
      </c>
      <c r="D35" s="11">
        <f>'Katilimci 32'!B31</f>
        <v/>
      </c>
      <c r="E35" s="11">
        <f>'Katilimci 32'!B32</f>
        <v/>
      </c>
      <c r="F35" s="11">
        <f>'Katilimci 32'!B33</f>
        <v/>
      </c>
      <c r="G35" s="11">
        <f>'Katilimci 32'!B40</f>
        <v/>
      </c>
      <c r="H35" s="13">
        <f>IF(G35&lt;=0.1,1,0)</f>
        <v/>
      </c>
    </row>
    <row r="36">
      <c r="A36" s="9" t="n">
        <v>33</v>
      </c>
      <c r="B36" s="11">
        <f>'Katilimci 33'!B29</f>
        <v/>
      </c>
      <c r="C36" s="11">
        <f>'Katilimci 33'!B30</f>
        <v/>
      </c>
      <c r="D36" s="11">
        <f>'Katilimci 33'!B31</f>
        <v/>
      </c>
      <c r="E36" s="11">
        <f>'Katilimci 33'!B32</f>
        <v/>
      </c>
      <c r="F36" s="11">
        <f>'Katilimci 33'!B33</f>
        <v/>
      </c>
      <c r="G36" s="11">
        <f>'Katilimci 33'!B40</f>
        <v/>
      </c>
      <c r="H36" s="13">
        <f>IF(G36&lt;=0.1,1,0)</f>
        <v/>
      </c>
    </row>
    <row r="37">
      <c r="A37" s="9" t="n">
        <v>34</v>
      </c>
      <c r="B37" s="11">
        <f>'Katilimci 34'!B29</f>
        <v/>
      </c>
      <c r="C37" s="11">
        <f>'Katilimci 34'!B30</f>
        <v/>
      </c>
      <c r="D37" s="11">
        <f>'Katilimci 34'!B31</f>
        <v/>
      </c>
      <c r="E37" s="11">
        <f>'Katilimci 34'!B32</f>
        <v/>
      </c>
      <c r="F37" s="11">
        <f>'Katilimci 34'!B33</f>
        <v/>
      </c>
      <c r="G37" s="11">
        <f>'Katilimci 34'!B40</f>
        <v/>
      </c>
      <c r="H37" s="13">
        <f>IF(G37&lt;=0.1,1,0)</f>
        <v/>
      </c>
    </row>
    <row r="38">
      <c r="A38" s="9" t="n">
        <v>35</v>
      </c>
      <c r="B38" s="11">
        <f>'Katilimci 35'!B29</f>
        <v/>
      </c>
      <c r="C38" s="11">
        <f>'Katilimci 35'!B30</f>
        <v/>
      </c>
      <c r="D38" s="11">
        <f>'Katilimci 35'!B31</f>
        <v/>
      </c>
      <c r="E38" s="11">
        <f>'Katilimci 35'!B32</f>
        <v/>
      </c>
      <c r="F38" s="11">
        <f>'Katilimci 35'!B33</f>
        <v/>
      </c>
      <c r="G38" s="11">
        <f>'Katilimci 35'!B40</f>
        <v/>
      </c>
      <c r="H38" s="13">
        <f>IF(G38&lt;=0.1,1,0)</f>
        <v/>
      </c>
    </row>
    <row r="40">
      <c r="A40" s="6" t="inlineStr">
        <is>
          <t>Geometrik Ortalama (yalnız tutarlı)</t>
        </is>
      </c>
      <c r="B40" s="11">
        <f>EXP(SUMPRODUCT(LN(B4:B38)*$H$4:$H$38)/SUM($H$4:$H$38))</f>
        <v/>
      </c>
      <c r="C40" s="11">
        <f>EXP(SUMPRODUCT(LN(C4:C38)*$H$4:$H$38)/SUM($H$4:$H$38))</f>
        <v/>
      </c>
      <c r="D40" s="11">
        <f>EXP(SUMPRODUCT(LN(D4:D38)*$H$4:$H$38)/SUM($H$4:$H$38))</f>
        <v/>
      </c>
      <c r="E40" s="11">
        <f>EXP(SUMPRODUCT(LN(E4:E38)*$H$4:$H$38)/SUM($H$4:$H$38))</f>
        <v/>
      </c>
      <c r="F40" s="11">
        <f>EXP(SUMPRODUCT(LN(F4:F38)*$H$4:$H$38)/SUM($H$4:$H$38))</f>
        <v/>
      </c>
    </row>
    <row r="41">
      <c r="A41" s="6" t="inlineStr">
        <is>
          <t>Toplam (geom)</t>
        </is>
      </c>
      <c r="B41" s="11">
        <f>SUM(B40:F40)</f>
        <v/>
      </c>
    </row>
    <row r="42">
      <c r="A42" s="6" t="inlineStr">
        <is>
          <t>Normalize Edilmiş W</t>
        </is>
      </c>
      <c r="B42" s="14">
        <f>B40/$B$41</f>
        <v/>
      </c>
      <c r="C42" s="14">
        <f>C40/$B$41</f>
        <v/>
      </c>
      <c r="D42" s="14">
        <f>D40/$B$41</f>
        <v/>
      </c>
      <c r="E42" s="14">
        <f>E40/$B$41</f>
        <v/>
      </c>
      <c r="F42" s="14">
        <f>F40/$B$41</f>
        <v/>
      </c>
    </row>
    <row r="44">
      <c r="A44" s="6" t="inlineStr">
        <is>
          <t>Tutarlı Katılımcı Sayısı</t>
        </is>
      </c>
      <c r="B44" s="13">
        <f>SUM(H4:H38)</f>
        <v/>
      </c>
    </row>
    <row r="45">
      <c r="A45" s="6" t="inlineStr">
        <is>
          <t>Tutarlı Sayısı ≥ 20 mi?</t>
        </is>
      </c>
      <c r="B45" s="15">
        <f>IF(B44&gt;=20,"EVET ✓","HAYIR ✗")</f>
        <v/>
      </c>
    </row>
  </sheetData>
  <mergeCells count="2">
    <mergeCell ref="A40"/>
    <mergeCell ref="A1:H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5" t="inlineStr">
        <is>
          <t>KARAR MATRİSİ - ARİTMETİK ORTALAMA (TOPSIS girdisi)</t>
        </is>
      </c>
    </row>
    <row r="3">
      <c r="A3" s="6" t="inlineStr">
        <is>
          <t>Alternatif \ Kriter</t>
        </is>
      </c>
      <c r="B3" s="6" t="inlineStr">
        <is>
          <t>Ödeme</t>
        </is>
      </c>
      <c r="C3" s="6" t="inlineStr">
        <is>
          <t>Kullanıcı Deneyimi</t>
        </is>
      </c>
      <c r="D3" s="6" t="inlineStr">
        <is>
          <t>Kargo</t>
        </is>
      </c>
      <c r="E3" s="6" t="inlineStr">
        <is>
          <t>Müşteri Yorumları</t>
        </is>
      </c>
      <c r="F3" s="6" t="inlineStr">
        <is>
          <t>Fiyatlandırma</t>
        </is>
      </c>
    </row>
    <row r="4">
      <c r="A4" s="6" t="inlineStr">
        <is>
          <t>Trendyol</t>
        </is>
      </c>
      <c r="B4" s="16">
        <f>AVERAGEIF(Anket_Yanitlari!R2:R36,"&lt;&gt;Kullanmıyorum")</f>
        <v/>
      </c>
      <c r="C4" s="16">
        <f>AVERAGEIF(Anket_Yanitlari!X2:X36,"&lt;&gt;Kullanmıyorum")</f>
        <v/>
      </c>
      <c r="D4" s="16">
        <f>AVERAGEIF(Anket_Yanitlari!AD2:AD36,"&lt;&gt;Kullanmıyorum")</f>
        <v/>
      </c>
      <c r="E4" s="16">
        <f>AVERAGEIF(Anket_Yanitlari!AJ2:AJ36,"&lt;&gt;Kullanmıyorum")</f>
        <v/>
      </c>
      <c r="F4" s="16">
        <f>AVERAGEIF(Anket_Yanitlari!AP2:AP36,"&lt;&gt;Kullanmıyorum")</f>
        <v/>
      </c>
    </row>
    <row r="5">
      <c r="A5" s="6" t="inlineStr">
        <is>
          <t>N11</t>
        </is>
      </c>
      <c r="B5" s="16">
        <f>AVERAGEIF(Anket_Yanitlari!S2:S36,"&lt;&gt;Kullanmıyorum")</f>
        <v/>
      </c>
      <c r="C5" s="16">
        <f>AVERAGEIF(Anket_Yanitlari!Y2:Y36,"&lt;&gt;Kullanmıyorum")</f>
        <v/>
      </c>
      <c r="D5" s="16">
        <f>AVERAGEIF(Anket_Yanitlari!AE2:AE36,"&lt;&gt;Kullanmıyorum")</f>
        <v/>
      </c>
      <c r="E5" s="16">
        <f>AVERAGEIF(Anket_Yanitlari!AK2:AK36,"&lt;&gt;Kullanmıyorum")</f>
        <v/>
      </c>
      <c r="F5" s="16">
        <f>AVERAGEIF(Anket_Yanitlari!AQ2:AQ36,"&lt;&gt;Kullanmıyorum")</f>
        <v/>
      </c>
    </row>
    <row r="6">
      <c r="A6" s="6" t="inlineStr">
        <is>
          <t>Hepsiburada</t>
        </is>
      </c>
      <c r="B6" s="16">
        <f>AVERAGEIF(Anket_Yanitlari!T2:T36,"&lt;&gt;Kullanmıyorum")</f>
        <v/>
      </c>
      <c r="C6" s="16">
        <f>AVERAGEIF(Anket_Yanitlari!Z2:Z36,"&lt;&gt;Kullanmıyorum")</f>
        <v/>
      </c>
      <c r="D6" s="16">
        <f>AVERAGEIF(Anket_Yanitlari!AF2:AF36,"&lt;&gt;Kullanmıyorum")</f>
        <v/>
      </c>
      <c r="E6" s="16">
        <f>AVERAGEIF(Anket_Yanitlari!AL2:AL36,"&lt;&gt;Kullanmıyorum")</f>
        <v/>
      </c>
      <c r="F6" s="16">
        <f>AVERAGEIF(Anket_Yanitlari!AR2:AR36,"&lt;&gt;Kullanmıyorum")</f>
        <v/>
      </c>
    </row>
    <row r="7">
      <c r="A7" s="6" t="inlineStr">
        <is>
          <t>PttAVM</t>
        </is>
      </c>
      <c r="B7" s="16">
        <f>AVERAGEIF(Anket_Yanitlari!U2:U36,"&lt;&gt;Kullanmıyorum")</f>
        <v/>
      </c>
      <c r="C7" s="16">
        <f>AVERAGEIF(Anket_Yanitlari!AA2:AA36,"&lt;&gt;Kullanmıyorum")</f>
        <v/>
      </c>
      <c r="D7" s="16">
        <f>AVERAGEIF(Anket_Yanitlari!AG2:AG36,"&lt;&gt;Kullanmıyorum")</f>
        <v/>
      </c>
      <c r="E7" s="16">
        <f>AVERAGEIF(Anket_Yanitlari!AM2:AM36,"&lt;&gt;Kullanmıyorum")</f>
        <v/>
      </c>
      <c r="F7" s="16">
        <f>AVERAGEIF(Anket_Yanitlari!AS2:AS36,"&lt;&gt;Kullanmıyorum")</f>
        <v/>
      </c>
    </row>
    <row r="8">
      <c r="A8" s="6" t="inlineStr">
        <is>
          <t>Çiçek Sepeti</t>
        </is>
      </c>
      <c r="B8" s="16">
        <f>AVERAGEIF(Anket_Yanitlari!V2:V36,"&lt;&gt;Kullanmıyorum")</f>
        <v/>
      </c>
      <c r="C8" s="16">
        <f>AVERAGEIF(Anket_Yanitlari!AB2:AB36,"&lt;&gt;Kullanmıyorum")</f>
        <v/>
      </c>
      <c r="D8" s="16">
        <f>AVERAGEIF(Anket_Yanitlari!AH2:AH36,"&lt;&gt;Kullanmıyorum")</f>
        <v/>
      </c>
      <c r="E8" s="16">
        <f>AVERAGEIF(Anket_Yanitlari!AN2:AN36,"&lt;&gt;Kullanmıyorum")</f>
        <v/>
      </c>
      <c r="F8" s="16">
        <f>AVERAGEIF(Anket_Yanitlari!AT2:AT36,"&lt;&gt;Kullanmıyorum")</f>
        <v/>
      </c>
    </row>
    <row r="9">
      <c r="A9" s="6" t="inlineStr">
        <is>
          <t>Amazon Türkiye</t>
        </is>
      </c>
      <c r="B9" s="16">
        <f>AVERAGEIF(Anket_Yanitlari!W2:W36,"&lt;&gt;Kullanmıyorum")</f>
        <v/>
      </c>
      <c r="C9" s="16">
        <f>AVERAGEIF(Anket_Yanitlari!AC2:AC36,"&lt;&gt;Kullanmıyorum")</f>
        <v/>
      </c>
      <c r="D9" s="16">
        <f>AVERAGEIF(Anket_Yanitlari!AI2:AI36,"&lt;&gt;Kullanmıyorum")</f>
        <v/>
      </c>
      <c r="E9" s="16">
        <f>AVERAGEIF(Anket_Yanitlari!AO2:AO36,"&lt;&gt;Kullanmıyorum")</f>
        <v/>
      </c>
      <c r="F9" s="16">
        <f>AVERAGEIF(Anket_Yanitlari!AU2:AU36,"&lt;&gt;Kullanmıyorum")</f>
        <v/>
      </c>
    </row>
  </sheetData>
  <mergeCells count="1">
    <mergeCell ref="A1:H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8" customWidth="1" min="4" max="4"/>
    <col width="10" customWidth="1" min="5" max="5"/>
    <col width="14" customWidth="1" min="6" max="6"/>
  </cols>
  <sheetData>
    <row r="1">
      <c r="A1" s="5" t="inlineStr">
        <is>
          <t>TOPSIS ANALİZİ (tek seferlik)</t>
        </is>
      </c>
    </row>
    <row r="3">
      <c r="A3" s="6" t="inlineStr">
        <is>
          <t>Kriter Ağırlıkları (W)</t>
        </is>
      </c>
      <c r="B3" s="10" t="n"/>
      <c r="C3" s="10" t="n"/>
      <c r="D3" s="10" t="n"/>
      <c r="E3" s="10" t="n"/>
      <c r="F3" s="7" t="n"/>
    </row>
    <row r="4">
      <c r="B4" s="6" t="inlineStr">
        <is>
          <t>Ödeme</t>
        </is>
      </c>
      <c r="C4" s="6" t="inlineStr">
        <is>
          <t>Kullanıcı Deneyimi</t>
        </is>
      </c>
      <c r="D4" s="6" t="inlineStr">
        <is>
          <t>Kargo</t>
        </is>
      </c>
      <c r="E4" s="6" t="inlineStr">
        <is>
          <t>Müşteri Yorumları</t>
        </is>
      </c>
      <c r="F4" s="6" t="inlineStr">
        <is>
          <t>Fiyatlandırma</t>
        </is>
      </c>
    </row>
    <row r="5">
      <c r="A5" s="6" t="inlineStr">
        <is>
          <t>W</t>
        </is>
      </c>
      <c r="B5" s="11">
        <f>AHP_Birlestirme!B42</f>
        <v/>
      </c>
      <c r="C5" s="11">
        <f>AHP_Birlestirme!C42</f>
        <v/>
      </c>
      <c r="D5" s="11">
        <f>AHP_Birlestirme!D42</f>
        <v/>
      </c>
      <c r="E5" s="11">
        <f>AHP_Birlestirme!E42</f>
        <v/>
      </c>
      <c r="F5" s="11">
        <f>AHP_Birlestirme!F42</f>
        <v/>
      </c>
    </row>
    <row r="7">
      <c r="A7" s="6" t="inlineStr">
        <is>
          <t>Karar Matrisi (D)</t>
        </is>
      </c>
      <c r="B7" s="10" t="n"/>
      <c r="C7" s="10" t="n"/>
      <c r="D7" s="10" t="n"/>
      <c r="E7" s="10" t="n"/>
      <c r="F7" s="7" t="n"/>
    </row>
    <row r="8">
      <c r="B8" s="6" t="inlineStr">
        <is>
          <t>Ödeme</t>
        </is>
      </c>
      <c r="C8" s="6" t="inlineStr">
        <is>
          <t>Kullanıcı Deneyimi</t>
        </is>
      </c>
      <c r="D8" s="6" t="inlineStr">
        <is>
          <t>Kargo</t>
        </is>
      </c>
      <c r="E8" s="6" t="inlineStr">
        <is>
          <t>Müşteri Yorumları</t>
        </is>
      </c>
      <c r="F8" s="6" t="inlineStr">
        <is>
          <t>Fiyatlandırma</t>
        </is>
      </c>
    </row>
    <row r="9">
      <c r="A9" s="6" t="inlineStr">
        <is>
          <t>Trendyol</t>
        </is>
      </c>
      <c r="B9" s="16">
        <f>Karar_Matrisi!B4</f>
        <v/>
      </c>
      <c r="C9" s="16">
        <f>Karar_Matrisi!C4</f>
        <v/>
      </c>
      <c r="D9" s="16">
        <f>Karar_Matrisi!D4</f>
        <v/>
      </c>
      <c r="E9" s="16">
        <f>Karar_Matrisi!E4</f>
        <v/>
      </c>
      <c r="F9" s="16">
        <f>Karar_Matrisi!F4</f>
        <v/>
      </c>
    </row>
    <row r="10">
      <c r="A10" s="6" t="inlineStr">
        <is>
          <t>N11</t>
        </is>
      </c>
      <c r="B10" s="16">
        <f>Karar_Matrisi!B5</f>
        <v/>
      </c>
      <c r="C10" s="16">
        <f>Karar_Matrisi!C5</f>
        <v/>
      </c>
      <c r="D10" s="16">
        <f>Karar_Matrisi!D5</f>
        <v/>
      </c>
      <c r="E10" s="16">
        <f>Karar_Matrisi!E5</f>
        <v/>
      </c>
      <c r="F10" s="16">
        <f>Karar_Matrisi!F5</f>
        <v/>
      </c>
    </row>
    <row r="11">
      <c r="A11" s="6" t="inlineStr">
        <is>
          <t>Hepsiburada</t>
        </is>
      </c>
      <c r="B11" s="16">
        <f>Karar_Matrisi!B6</f>
        <v/>
      </c>
      <c r="C11" s="16">
        <f>Karar_Matrisi!C6</f>
        <v/>
      </c>
      <c r="D11" s="16">
        <f>Karar_Matrisi!D6</f>
        <v/>
      </c>
      <c r="E11" s="16">
        <f>Karar_Matrisi!E6</f>
        <v/>
      </c>
      <c r="F11" s="16">
        <f>Karar_Matrisi!F6</f>
        <v/>
      </c>
    </row>
    <row r="12">
      <c r="A12" s="6" t="inlineStr">
        <is>
          <t>PttAVM</t>
        </is>
      </c>
      <c r="B12" s="16">
        <f>Karar_Matrisi!B7</f>
        <v/>
      </c>
      <c r="C12" s="16">
        <f>Karar_Matrisi!C7</f>
        <v/>
      </c>
      <c r="D12" s="16">
        <f>Karar_Matrisi!D7</f>
        <v/>
      </c>
      <c r="E12" s="16">
        <f>Karar_Matrisi!E7</f>
        <v/>
      </c>
      <c r="F12" s="16">
        <f>Karar_Matrisi!F7</f>
        <v/>
      </c>
    </row>
    <row r="13">
      <c r="A13" s="6" t="inlineStr">
        <is>
          <t>Çiçek Sepeti</t>
        </is>
      </c>
      <c r="B13" s="16">
        <f>Karar_Matrisi!B8</f>
        <v/>
      </c>
      <c r="C13" s="16">
        <f>Karar_Matrisi!C8</f>
        <v/>
      </c>
      <c r="D13" s="16">
        <f>Karar_Matrisi!D8</f>
        <v/>
      </c>
      <c r="E13" s="16">
        <f>Karar_Matrisi!E8</f>
        <v/>
      </c>
      <c r="F13" s="16">
        <f>Karar_Matrisi!F8</f>
        <v/>
      </c>
    </row>
    <row r="14">
      <c r="A14" s="6" t="inlineStr">
        <is>
          <t>Amazon Türkiye</t>
        </is>
      </c>
      <c r="B14" s="16">
        <f>Karar_Matrisi!B9</f>
        <v/>
      </c>
      <c r="C14" s="16">
        <f>Karar_Matrisi!C9</f>
        <v/>
      </c>
      <c r="D14" s="16">
        <f>Karar_Matrisi!D9</f>
        <v/>
      </c>
      <c r="E14" s="16">
        <f>Karar_Matrisi!E9</f>
        <v/>
      </c>
      <c r="F14" s="16">
        <f>Karar_Matrisi!F9</f>
        <v/>
      </c>
    </row>
    <row r="16">
      <c r="A16" s="6" t="inlineStr">
        <is>
          <t>Sütun Normu n_j = √Σd²</t>
        </is>
      </c>
      <c r="B16" s="11">
        <f>SQRT(B9^2+B10^2+B11^2+B12^2+B13^2+B14^2)</f>
        <v/>
      </c>
      <c r="C16" s="11">
        <f>SQRT(C9^2+C10^2+C11^2+C12^2+C13^2+C14^2)</f>
        <v/>
      </c>
      <c r="D16" s="11">
        <f>SQRT(D9^2+D10^2+D11^2+D12^2+D13^2+D14^2)</f>
        <v/>
      </c>
      <c r="E16" s="11">
        <f>SQRT(E9^2+E10^2+E11^2+E12^2+E13^2+E14^2)</f>
        <v/>
      </c>
      <c r="F16" s="11">
        <f>SQRT(F9^2+F10^2+F11^2+F12^2+F13^2+F14^2)</f>
        <v/>
      </c>
    </row>
    <row r="18">
      <c r="A18" s="6" t="inlineStr">
        <is>
          <t>Normalize Matris (R)</t>
        </is>
      </c>
      <c r="B18" s="10" t="n"/>
      <c r="C18" s="10" t="n"/>
      <c r="D18" s="10" t="n"/>
      <c r="E18" s="10" t="n"/>
      <c r="F18" s="7" t="n"/>
    </row>
    <row r="19">
      <c r="B19" s="6" t="inlineStr">
        <is>
          <t>Ödeme</t>
        </is>
      </c>
      <c r="C19" s="6" t="inlineStr">
        <is>
          <t>Kullanıcı Deneyimi</t>
        </is>
      </c>
      <c r="D19" s="6" t="inlineStr">
        <is>
          <t>Kargo</t>
        </is>
      </c>
      <c r="E19" s="6" t="inlineStr">
        <is>
          <t>Müşteri Yorumları</t>
        </is>
      </c>
      <c r="F19" s="6" t="inlineStr">
        <is>
          <t>Fiyatlandırma</t>
        </is>
      </c>
    </row>
    <row r="20">
      <c r="A20" s="6" t="inlineStr">
        <is>
          <t>Trendyol</t>
        </is>
      </c>
      <c r="B20" s="11">
        <f>B9/B16</f>
        <v/>
      </c>
      <c r="C20" s="11">
        <f>C9/C16</f>
        <v/>
      </c>
      <c r="D20" s="11">
        <f>D9/D16</f>
        <v/>
      </c>
      <c r="E20" s="11">
        <f>E9/E16</f>
        <v/>
      </c>
      <c r="F20" s="11">
        <f>F9/F16</f>
        <v/>
      </c>
    </row>
    <row r="21">
      <c r="A21" s="6" t="inlineStr">
        <is>
          <t>N11</t>
        </is>
      </c>
      <c r="B21" s="11">
        <f>B10/B16</f>
        <v/>
      </c>
      <c r="C21" s="11">
        <f>C10/C16</f>
        <v/>
      </c>
      <c r="D21" s="11">
        <f>D10/D16</f>
        <v/>
      </c>
      <c r="E21" s="11">
        <f>E10/E16</f>
        <v/>
      </c>
      <c r="F21" s="11">
        <f>F10/F16</f>
        <v/>
      </c>
    </row>
    <row r="22">
      <c r="A22" s="6" t="inlineStr">
        <is>
          <t>Hepsiburada</t>
        </is>
      </c>
      <c r="B22" s="11">
        <f>B11/B16</f>
        <v/>
      </c>
      <c r="C22" s="11">
        <f>C11/C16</f>
        <v/>
      </c>
      <c r="D22" s="11">
        <f>D11/D16</f>
        <v/>
      </c>
      <c r="E22" s="11">
        <f>E11/E16</f>
        <v/>
      </c>
      <c r="F22" s="11">
        <f>F11/F16</f>
        <v/>
      </c>
    </row>
    <row r="23">
      <c r="A23" s="6" t="inlineStr">
        <is>
          <t>PttAVM</t>
        </is>
      </c>
      <c r="B23" s="11">
        <f>B12/B16</f>
        <v/>
      </c>
      <c r="C23" s="11">
        <f>C12/C16</f>
        <v/>
      </c>
      <c r="D23" s="11">
        <f>D12/D16</f>
        <v/>
      </c>
      <c r="E23" s="11">
        <f>E12/E16</f>
        <v/>
      </c>
      <c r="F23" s="11">
        <f>F12/F16</f>
        <v/>
      </c>
    </row>
    <row r="24">
      <c r="A24" s="6" t="inlineStr">
        <is>
          <t>Çiçek Sepeti</t>
        </is>
      </c>
      <c r="B24" s="11">
        <f>B13/B16</f>
        <v/>
      </c>
      <c r="C24" s="11">
        <f>C13/C16</f>
        <v/>
      </c>
      <c r="D24" s="11">
        <f>D13/D16</f>
        <v/>
      </c>
      <c r="E24" s="11">
        <f>E13/E16</f>
        <v/>
      </c>
      <c r="F24" s="11">
        <f>F13/F16</f>
        <v/>
      </c>
    </row>
    <row r="25">
      <c r="A25" s="6" t="inlineStr">
        <is>
          <t>Amazon Türkiye</t>
        </is>
      </c>
      <c r="B25" s="11">
        <f>B14/B16</f>
        <v/>
      </c>
      <c r="C25" s="11">
        <f>C14/C16</f>
        <v/>
      </c>
      <c r="D25" s="11">
        <f>D14/D16</f>
        <v/>
      </c>
      <c r="E25" s="11">
        <f>E14/E16</f>
        <v/>
      </c>
      <c r="F25" s="11">
        <f>F14/F16</f>
        <v/>
      </c>
    </row>
    <row r="27">
      <c r="A27" s="6" t="inlineStr">
        <is>
          <t>Ağırlıklı Normalize Matris (V)</t>
        </is>
      </c>
      <c r="B27" s="10" t="n"/>
      <c r="C27" s="10" t="n"/>
      <c r="D27" s="10" t="n"/>
      <c r="E27" s="10" t="n"/>
      <c r="F27" s="7" t="n"/>
    </row>
    <row r="28">
      <c r="B28" s="6" t="inlineStr">
        <is>
          <t>Ödeme</t>
        </is>
      </c>
      <c r="C28" s="6" t="inlineStr">
        <is>
          <t>Kullanıcı Deneyimi</t>
        </is>
      </c>
      <c r="D28" s="6" t="inlineStr">
        <is>
          <t>Kargo</t>
        </is>
      </c>
      <c r="E28" s="6" t="inlineStr">
        <is>
          <t>Müşteri Yorumları</t>
        </is>
      </c>
      <c r="F28" s="6" t="inlineStr">
        <is>
          <t>Fiyatlandırma</t>
        </is>
      </c>
    </row>
    <row r="29">
      <c r="A29" s="6" t="inlineStr">
        <is>
          <t>Trendyol</t>
        </is>
      </c>
      <c r="B29" s="11">
        <f>B20*B$5</f>
        <v/>
      </c>
      <c r="C29" s="11">
        <f>C20*C$5</f>
        <v/>
      </c>
      <c r="D29" s="11">
        <f>D20*D$5</f>
        <v/>
      </c>
      <c r="E29" s="11">
        <f>E20*E$5</f>
        <v/>
      </c>
      <c r="F29" s="11">
        <f>F20*F$5</f>
        <v/>
      </c>
    </row>
    <row r="30">
      <c r="A30" s="6" t="inlineStr">
        <is>
          <t>N11</t>
        </is>
      </c>
      <c r="B30" s="11">
        <f>B21*B$5</f>
        <v/>
      </c>
      <c r="C30" s="11">
        <f>C21*C$5</f>
        <v/>
      </c>
      <c r="D30" s="11">
        <f>D21*D$5</f>
        <v/>
      </c>
      <c r="E30" s="11">
        <f>E21*E$5</f>
        <v/>
      </c>
      <c r="F30" s="11">
        <f>F21*F$5</f>
        <v/>
      </c>
    </row>
    <row r="31">
      <c r="A31" s="6" t="inlineStr">
        <is>
          <t>Hepsiburada</t>
        </is>
      </c>
      <c r="B31" s="11">
        <f>B22*B$5</f>
        <v/>
      </c>
      <c r="C31" s="11">
        <f>C22*C$5</f>
        <v/>
      </c>
      <c r="D31" s="11">
        <f>D22*D$5</f>
        <v/>
      </c>
      <c r="E31" s="11">
        <f>E22*E$5</f>
        <v/>
      </c>
      <c r="F31" s="11">
        <f>F22*F$5</f>
        <v/>
      </c>
    </row>
    <row r="32">
      <c r="A32" s="6" t="inlineStr">
        <is>
          <t>PttAVM</t>
        </is>
      </c>
      <c r="B32" s="11">
        <f>B23*B$5</f>
        <v/>
      </c>
      <c r="C32" s="11">
        <f>C23*C$5</f>
        <v/>
      </c>
      <c r="D32" s="11">
        <f>D23*D$5</f>
        <v/>
      </c>
      <c r="E32" s="11">
        <f>E23*E$5</f>
        <v/>
      </c>
      <c r="F32" s="11">
        <f>F23*F$5</f>
        <v/>
      </c>
    </row>
    <row r="33">
      <c r="A33" s="6" t="inlineStr">
        <is>
          <t>Çiçek Sepeti</t>
        </is>
      </c>
      <c r="B33" s="11">
        <f>B24*B$5</f>
        <v/>
      </c>
      <c r="C33" s="11">
        <f>C24*C$5</f>
        <v/>
      </c>
      <c r="D33" s="11">
        <f>D24*D$5</f>
        <v/>
      </c>
      <c r="E33" s="11">
        <f>E24*E$5</f>
        <v/>
      </c>
      <c r="F33" s="11">
        <f>F24*F$5</f>
        <v/>
      </c>
    </row>
    <row r="34">
      <c r="A34" s="6" t="inlineStr">
        <is>
          <t>Amazon Türkiye</t>
        </is>
      </c>
      <c r="B34" s="11">
        <f>B25*B$5</f>
        <v/>
      </c>
      <c r="C34" s="11">
        <f>C25*C$5</f>
        <v/>
      </c>
      <c r="D34" s="11">
        <f>D25*D$5</f>
        <v/>
      </c>
      <c r="E34" s="11">
        <f>E25*E$5</f>
        <v/>
      </c>
      <c r="F34" s="11">
        <f>F25*F$5</f>
        <v/>
      </c>
    </row>
    <row r="36">
      <c r="A36" s="6" t="inlineStr">
        <is>
          <t>A+ (ideal, max)</t>
        </is>
      </c>
      <c r="B36" s="11">
        <f>MAX(B29:B34)</f>
        <v/>
      </c>
      <c r="C36" s="11">
        <f>MAX(C29:C34)</f>
        <v/>
      </c>
      <c r="D36" s="11">
        <f>MAX(D29:D34)</f>
        <v/>
      </c>
      <c r="E36" s="11">
        <f>MAX(E29:E34)</f>
        <v/>
      </c>
      <c r="F36" s="11">
        <f>MAX(F29:F34)</f>
        <v/>
      </c>
    </row>
    <row r="37">
      <c r="A37" s="6" t="inlineStr">
        <is>
          <t>A- (anti-ideal, min)</t>
        </is>
      </c>
      <c r="B37" s="11">
        <f>MIN(B29:B34)</f>
        <v/>
      </c>
      <c r="C37" s="11">
        <f>MIN(C29:C34)</f>
        <v/>
      </c>
      <c r="D37" s="11">
        <f>MIN(D29:D34)</f>
        <v/>
      </c>
      <c r="E37" s="11">
        <f>MIN(E29:E34)</f>
        <v/>
      </c>
      <c r="F37" s="11">
        <f>MIN(F29:F34)</f>
        <v/>
      </c>
    </row>
    <row r="39">
      <c r="A39" s="6" t="inlineStr">
        <is>
          <t>Alternatif</t>
        </is>
      </c>
      <c r="B39" s="6" t="inlineStr">
        <is>
          <t>S⁺ (ideal mesafe)</t>
        </is>
      </c>
      <c r="C39" s="6" t="inlineStr">
        <is>
          <t>S⁻ (anti-ideal mesafe)</t>
        </is>
      </c>
      <c r="D39" s="6" t="inlineStr">
        <is>
          <t>C = S⁻/(S⁺+S⁻)</t>
        </is>
      </c>
      <c r="E39" s="6" t="inlineStr">
        <is>
          <t>Sıra</t>
        </is>
      </c>
    </row>
    <row r="40">
      <c r="A40" s="6" t="inlineStr">
        <is>
          <t>Trendyol</t>
        </is>
      </c>
      <c r="B40" s="11">
        <f>SQRT((B29-B36)^2+(C29-C36)^2+(D29-D36)^2+(E29-E36)^2+(F29-F36)^2)</f>
        <v/>
      </c>
      <c r="C40" s="11">
        <f>SQRT((B29-B37)^2+(C29-C37)^2+(D29-D37)^2+(E29-E37)^2+(F29-F37)^2)</f>
        <v/>
      </c>
      <c r="D40" s="11">
        <f>C40/(B40+C40)</f>
        <v/>
      </c>
      <c r="E40" s="17">
        <f>RANK(D40,$D$40:$D$45)</f>
        <v/>
      </c>
    </row>
    <row r="41">
      <c r="A41" s="6" t="inlineStr">
        <is>
          <t>N11</t>
        </is>
      </c>
      <c r="B41" s="11">
        <f>SQRT((B30-B36)^2+(C30-C36)^2+(D30-D36)^2+(E30-E36)^2+(F30-F36)^2)</f>
        <v/>
      </c>
      <c r="C41" s="11">
        <f>SQRT((B30-B37)^2+(C30-C37)^2+(D30-D37)^2+(E30-E37)^2+(F30-F37)^2)</f>
        <v/>
      </c>
      <c r="D41" s="11">
        <f>C41/(B41+C41)</f>
        <v/>
      </c>
      <c r="E41" s="17">
        <f>RANK(D41,$D$40:$D$45)</f>
        <v/>
      </c>
    </row>
    <row r="42">
      <c r="A42" s="6" t="inlineStr">
        <is>
          <t>Hepsiburada</t>
        </is>
      </c>
      <c r="B42" s="11">
        <f>SQRT((B31-B36)^2+(C31-C36)^2+(D31-D36)^2+(E31-E36)^2+(F31-F36)^2)</f>
        <v/>
      </c>
      <c r="C42" s="11">
        <f>SQRT((B31-B37)^2+(C31-C37)^2+(D31-D37)^2+(E31-E37)^2+(F31-F37)^2)</f>
        <v/>
      </c>
      <c r="D42" s="11">
        <f>C42/(B42+C42)</f>
        <v/>
      </c>
      <c r="E42" s="17">
        <f>RANK(D42,$D$40:$D$45)</f>
        <v/>
      </c>
    </row>
    <row r="43">
      <c r="A43" s="6" t="inlineStr">
        <is>
          <t>PttAVM</t>
        </is>
      </c>
      <c r="B43" s="11">
        <f>SQRT((B32-B36)^2+(C32-C36)^2+(D32-D36)^2+(E32-E36)^2+(F32-F36)^2)</f>
        <v/>
      </c>
      <c r="C43" s="11">
        <f>SQRT((B32-B37)^2+(C32-C37)^2+(D32-D37)^2+(E32-E37)^2+(F32-F37)^2)</f>
        <v/>
      </c>
      <c r="D43" s="11">
        <f>C43/(B43+C43)</f>
        <v/>
      </c>
      <c r="E43" s="17">
        <f>RANK(D43,$D$40:$D$45)</f>
        <v/>
      </c>
    </row>
    <row r="44">
      <c r="A44" s="6" t="inlineStr">
        <is>
          <t>Çiçek Sepeti</t>
        </is>
      </c>
      <c r="B44" s="11">
        <f>SQRT((B33-B36)^2+(C33-C36)^2+(D33-D36)^2+(E33-E36)^2+(F33-F36)^2)</f>
        <v/>
      </c>
      <c r="C44" s="11">
        <f>SQRT((B33-B37)^2+(C33-C37)^2+(D33-D37)^2+(E33-E37)^2+(F33-F37)^2)</f>
        <v/>
      </c>
      <c r="D44" s="11">
        <f>C44/(B44+C44)</f>
        <v/>
      </c>
      <c r="E44" s="17">
        <f>RANK(D44,$D$40:$D$45)</f>
        <v/>
      </c>
    </row>
    <row r="45">
      <c r="A45" s="6" t="inlineStr">
        <is>
          <t>Amazon Türkiye</t>
        </is>
      </c>
      <c r="B45" s="11">
        <f>SQRT((B34-B36)^2+(C34-C36)^2+(D34-D36)^2+(E34-E36)^2+(F34-F36)^2)</f>
        <v/>
      </c>
      <c r="C45" s="11">
        <f>SQRT((B34-B37)^2+(C34-C37)^2+(D34-D37)^2+(E34-E37)^2+(F34-F37)^2)</f>
        <v/>
      </c>
      <c r="D45" s="11">
        <f>C45/(B45+C45)</f>
        <v/>
      </c>
      <c r="E45" s="17">
        <f>RANK(D45,$D$40:$D$45)</f>
        <v/>
      </c>
    </row>
  </sheetData>
  <mergeCells count="5">
    <mergeCell ref="A27:F27"/>
    <mergeCell ref="A18:F18"/>
    <mergeCell ref="A1:H1"/>
    <mergeCell ref="A3:F3"/>
    <mergeCell ref="A7:F7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4" customWidth="1" min="4" max="4"/>
    <col width="10" customWidth="1" min="5" max="5"/>
  </cols>
  <sheetData>
    <row r="1">
      <c r="A1" s="5" t="inlineStr">
        <is>
          <t>ELECTRE I ANALİZİ (tek seferlik)</t>
        </is>
      </c>
    </row>
    <row r="3">
      <c r="A3" s="6" t="inlineStr">
        <is>
          <t>Ağırlıklı Normalize Matris (TOPSIS!V kopyası)</t>
        </is>
      </c>
      <c r="B3" s="10" t="n"/>
      <c r="C3" s="10" t="n"/>
      <c r="D3" s="10" t="n"/>
      <c r="E3" s="10" t="n"/>
      <c r="F3" s="7" t="n"/>
    </row>
    <row r="4">
      <c r="B4" s="6" t="inlineStr">
        <is>
          <t>Ödeme</t>
        </is>
      </c>
      <c r="C4" s="6" t="inlineStr">
        <is>
          <t>Kullanıcı Deneyimi</t>
        </is>
      </c>
      <c r="D4" s="6" t="inlineStr">
        <is>
          <t>Kargo</t>
        </is>
      </c>
      <c r="E4" s="6" t="inlineStr">
        <is>
          <t>Müşteri Yorumları</t>
        </is>
      </c>
      <c r="F4" s="6" t="inlineStr">
        <is>
          <t>Fiyatlandırma</t>
        </is>
      </c>
    </row>
    <row r="5">
      <c r="A5" s="6" t="inlineStr">
        <is>
          <t>Trendyol</t>
        </is>
      </c>
      <c r="B5" s="11">
        <f>TOPSIS!B29</f>
        <v/>
      </c>
      <c r="C5" s="11">
        <f>TOPSIS!C29</f>
        <v/>
      </c>
      <c r="D5" s="11">
        <f>TOPSIS!D29</f>
        <v/>
      </c>
      <c r="E5" s="11">
        <f>TOPSIS!E29</f>
        <v/>
      </c>
      <c r="F5" s="11">
        <f>TOPSIS!F29</f>
        <v/>
      </c>
    </row>
    <row r="6">
      <c r="A6" s="6" t="inlineStr">
        <is>
          <t>N11</t>
        </is>
      </c>
      <c r="B6" s="11">
        <f>TOPSIS!B30</f>
        <v/>
      </c>
      <c r="C6" s="11">
        <f>TOPSIS!C30</f>
        <v/>
      </c>
      <c r="D6" s="11">
        <f>TOPSIS!D30</f>
        <v/>
      </c>
      <c r="E6" s="11">
        <f>TOPSIS!E30</f>
        <v/>
      </c>
      <c r="F6" s="11">
        <f>TOPSIS!F30</f>
        <v/>
      </c>
    </row>
    <row r="7">
      <c r="A7" s="6" t="inlineStr">
        <is>
          <t>Hepsiburada</t>
        </is>
      </c>
      <c r="B7" s="11">
        <f>TOPSIS!B31</f>
        <v/>
      </c>
      <c r="C7" s="11">
        <f>TOPSIS!C31</f>
        <v/>
      </c>
      <c r="D7" s="11">
        <f>TOPSIS!D31</f>
        <v/>
      </c>
      <c r="E7" s="11">
        <f>TOPSIS!E31</f>
        <v/>
      </c>
      <c r="F7" s="11">
        <f>TOPSIS!F31</f>
        <v/>
      </c>
    </row>
    <row r="8">
      <c r="A8" s="6" t="inlineStr">
        <is>
          <t>PttAVM</t>
        </is>
      </c>
      <c r="B8" s="11">
        <f>TOPSIS!B32</f>
        <v/>
      </c>
      <c r="C8" s="11">
        <f>TOPSIS!C32</f>
        <v/>
      </c>
      <c r="D8" s="11">
        <f>TOPSIS!D32</f>
        <v/>
      </c>
      <c r="E8" s="11">
        <f>TOPSIS!E32</f>
        <v/>
      </c>
      <c r="F8" s="11">
        <f>TOPSIS!F32</f>
        <v/>
      </c>
    </row>
    <row r="9">
      <c r="A9" s="6" t="inlineStr">
        <is>
          <t>Çiçek Sepeti</t>
        </is>
      </c>
      <c r="B9" s="11">
        <f>TOPSIS!B33</f>
        <v/>
      </c>
      <c r="C9" s="11">
        <f>TOPSIS!C33</f>
        <v/>
      </c>
      <c r="D9" s="11">
        <f>TOPSIS!D33</f>
        <v/>
      </c>
      <c r="E9" s="11">
        <f>TOPSIS!E33</f>
        <v/>
      </c>
      <c r="F9" s="11">
        <f>TOPSIS!F33</f>
        <v/>
      </c>
    </row>
    <row r="10">
      <c r="A10" s="6" t="inlineStr">
        <is>
          <t>Amazon Türkiye</t>
        </is>
      </c>
      <c r="B10" s="11">
        <f>TOPSIS!B34</f>
        <v/>
      </c>
      <c r="C10" s="11">
        <f>TOPSIS!C34</f>
        <v/>
      </c>
      <c r="D10" s="11">
        <f>TOPSIS!D34</f>
        <v/>
      </c>
      <c r="E10" s="11">
        <f>TOPSIS!E34</f>
        <v/>
      </c>
      <c r="F10" s="11">
        <f>TOPSIS!F34</f>
        <v/>
      </c>
    </row>
    <row r="12">
      <c r="A12" s="6" t="inlineStr">
        <is>
          <t>Kriter Ağırlıkları (W, TOPSIS kopyası)</t>
        </is>
      </c>
      <c r="B12" s="10" t="n"/>
      <c r="C12" s="10" t="n"/>
      <c r="D12" s="10" t="n"/>
      <c r="E12" s="10" t="n"/>
      <c r="F12" s="7" t="n"/>
    </row>
    <row r="13">
      <c r="B13" s="6" t="inlineStr">
        <is>
          <t>Ödeme</t>
        </is>
      </c>
      <c r="C13" s="6" t="inlineStr">
        <is>
          <t>Kullanıcı Deneyimi</t>
        </is>
      </c>
      <c r="D13" s="6" t="inlineStr">
        <is>
          <t>Kargo</t>
        </is>
      </c>
      <c r="E13" s="6" t="inlineStr">
        <is>
          <t>Müşteri Yorumları</t>
        </is>
      </c>
      <c r="F13" s="6" t="inlineStr">
        <is>
          <t>Fiyatlandırma</t>
        </is>
      </c>
    </row>
    <row r="14">
      <c r="B14" s="11">
        <f>TOPSIS!B5</f>
        <v/>
      </c>
      <c r="C14" s="11">
        <f>TOPSIS!C5</f>
        <v/>
      </c>
      <c r="D14" s="11">
        <f>TOPSIS!D5</f>
        <v/>
      </c>
      <c r="E14" s="11">
        <f>TOPSIS!E5</f>
        <v/>
      </c>
      <c r="F14" s="11">
        <f>TOPSIS!F5</f>
        <v/>
      </c>
    </row>
    <row r="16">
      <c r="A16" s="6" t="inlineStr">
        <is>
          <t>Uyum (Concordance) Matrisi  C(p,q)</t>
        </is>
      </c>
      <c r="B16" s="10" t="n"/>
      <c r="C16" s="10" t="n"/>
      <c r="D16" s="10" t="n"/>
      <c r="E16" s="10" t="n"/>
      <c r="F16" s="10" t="n"/>
      <c r="G16" s="7" t="n"/>
    </row>
    <row r="17">
      <c r="B17" s="6" t="inlineStr">
        <is>
          <t>Trendyol</t>
        </is>
      </c>
      <c r="C17" s="6" t="inlineStr">
        <is>
          <t>N11</t>
        </is>
      </c>
      <c r="D17" s="6" t="inlineStr">
        <is>
          <t>Hepsiburada</t>
        </is>
      </c>
      <c r="E17" s="6" t="inlineStr">
        <is>
          <t>PttAVM</t>
        </is>
      </c>
      <c r="F17" s="6" t="inlineStr">
        <is>
          <t>Çiçek Sepeti</t>
        </is>
      </c>
      <c r="G17" s="6" t="inlineStr">
        <is>
          <t>Amazon Türkiye</t>
        </is>
      </c>
    </row>
    <row r="18">
      <c r="A18" s="6" t="inlineStr">
        <is>
          <t>Trendyol</t>
        </is>
      </c>
      <c r="B18" s="11" t="inlineStr"/>
      <c r="C18" s="11">
        <f>SUMPRODUCT((B5:F5&gt;=B6:F6)*$B$14:$F$14)</f>
        <v/>
      </c>
      <c r="D18" s="11">
        <f>SUMPRODUCT((B5:F5&gt;=B7:F7)*$B$14:$F$14)</f>
        <v/>
      </c>
      <c r="E18" s="11">
        <f>SUMPRODUCT((B5:F5&gt;=B8:F8)*$B$14:$F$14)</f>
        <v/>
      </c>
      <c r="F18" s="11">
        <f>SUMPRODUCT((B5:F5&gt;=B9:F9)*$B$14:$F$14)</f>
        <v/>
      </c>
      <c r="G18" s="11">
        <f>SUMPRODUCT((B5:F5&gt;=B10:F10)*$B$14:$F$14)</f>
        <v/>
      </c>
    </row>
    <row r="19">
      <c r="A19" s="6" t="inlineStr">
        <is>
          <t>N11</t>
        </is>
      </c>
      <c r="B19" s="11">
        <f>SUMPRODUCT((B6:F6&gt;=B5:F5)*$B$14:$F$14)</f>
        <v/>
      </c>
      <c r="C19" s="11" t="inlineStr"/>
      <c r="D19" s="11">
        <f>SUMPRODUCT((B6:F6&gt;=B7:F7)*$B$14:$F$14)</f>
        <v/>
      </c>
      <c r="E19" s="11">
        <f>SUMPRODUCT((B6:F6&gt;=B8:F8)*$B$14:$F$14)</f>
        <v/>
      </c>
      <c r="F19" s="11">
        <f>SUMPRODUCT((B6:F6&gt;=B9:F9)*$B$14:$F$14)</f>
        <v/>
      </c>
      <c r="G19" s="11">
        <f>SUMPRODUCT((B6:F6&gt;=B10:F10)*$B$14:$F$14)</f>
        <v/>
      </c>
    </row>
    <row r="20">
      <c r="A20" s="6" t="inlineStr">
        <is>
          <t>Hepsiburada</t>
        </is>
      </c>
      <c r="B20" s="11">
        <f>SUMPRODUCT((B7:F7&gt;=B5:F5)*$B$14:$F$14)</f>
        <v/>
      </c>
      <c r="C20" s="11">
        <f>SUMPRODUCT((B7:F7&gt;=B6:F6)*$B$14:$F$14)</f>
        <v/>
      </c>
      <c r="D20" s="11" t="inlineStr"/>
      <c r="E20" s="11">
        <f>SUMPRODUCT((B7:F7&gt;=B8:F8)*$B$14:$F$14)</f>
        <v/>
      </c>
      <c r="F20" s="11">
        <f>SUMPRODUCT((B7:F7&gt;=B9:F9)*$B$14:$F$14)</f>
        <v/>
      </c>
      <c r="G20" s="11">
        <f>SUMPRODUCT((B7:F7&gt;=B10:F10)*$B$14:$F$14)</f>
        <v/>
      </c>
    </row>
    <row r="21">
      <c r="A21" s="6" t="inlineStr">
        <is>
          <t>PttAVM</t>
        </is>
      </c>
      <c r="B21" s="11">
        <f>SUMPRODUCT((B8:F8&gt;=B5:F5)*$B$14:$F$14)</f>
        <v/>
      </c>
      <c r="C21" s="11">
        <f>SUMPRODUCT((B8:F8&gt;=B6:F6)*$B$14:$F$14)</f>
        <v/>
      </c>
      <c r="D21" s="11">
        <f>SUMPRODUCT((B8:F8&gt;=B7:F7)*$B$14:$F$14)</f>
        <v/>
      </c>
      <c r="E21" s="11" t="inlineStr"/>
      <c r="F21" s="11">
        <f>SUMPRODUCT((B8:F8&gt;=B9:F9)*$B$14:$F$14)</f>
        <v/>
      </c>
      <c r="G21" s="11">
        <f>SUMPRODUCT((B8:F8&gt;=B10:F10)*$B$14:$F$14)</f>
        <v/>
      </c>
    </row>
    <row r="22">
      <c r="A22" s="6" t="inlineStr">
        <is>
          <t>Çiçek Sepeti</t>
        </is>
      </c>
      <c r="B22" s="11">
        <f>SUMPRODUCT((B9:F9&gt;=B5:F5)*$B$14:$F$14)</f>
        <v/>
      </c>
      <c r="C22" s="11">
        <f>SUMPRODUCT((B9:F9&gt;=B6:F6)*$B$14:$F$14)</f>
        <v/>
      </c>
      <c r="D22" s="11">
        <f>SUMPRODUCT((B9:F9&gt;=B7:F7)*$B$14:$F$14)</f>
        <v/>
      </c>
      <c r="E22" s="11">
        <f>SUMPRODUCT((B9:F9&gt;=B8:F8)*$B$14:$F$14)</f>
        <v/>
      </c>
      <c r="F22" s="11" t="inlineStr"/>
      <c r="G22" s="11">
        <f>SUMPRODUCT((B9:F9&gt;=B10:F10)*$B$14:$F$14)</f>
        <v/>
      </c>
    </row>
    <row r="23">
      <c r="A23" s="6" t="inlineStr">
        <is>
          <t>Amazon Türkiye</t>
        </is>
      </c>
      <c r="B23" s="11">
        <f>SUMPRODUCT((B10:F10&gt;=B5:F5)*$B$14:$F$14)</f>
        <v/>
      </c>
      <c r="C23" s="11">
        <f>SUMPRODUCT((B10:F10&gt;=B6:F6)*$B$14:$F$14)</f>
        <v/>
      </c>
      <c r="D23" s="11">
        <f>SUMPRODUCT((B10:F10&gt;=B7:F7)*$B$14:$F$14)</f>
        <v/>
      </c>
      <c r="E23" s="11">
        <f>SUMPRODUCT((B10:F10&gt;=B8:F8)*$B$14:$F$14)</f>
        <v/>
      </c>
      <c r="F23" s="11">
        <f>SUMPRODUCT((B10:F10&gt;=B9:F9)*$B$14:$F$14)</f>
        <v/>
      </c>
      <c r="G23" s="11" t="inlineStr"/>
    </row>
    <row r="25">
      <c r="A25" s="6" t="inlineStr">
        <is>
          <t>Uyumsuzluk (Discordance) Matrisi  d(p,q)</t>
        </is>
      </c>
      <c r="B25" s="10" t="n"/>
      <c r="C25" s="10" t="n"/>
      <c r="D25" s="10" t="n"/>
      <c r="E25" s="10" t="n"/>
      <c r="F25" s="10" t="n"/>
      <c r="G25" s="7" t="n"/>
    </row>
    <row r="26">
      <c r="B26" s="6" t="inlineStr">
        <is>
          <t>Trendyol</t>
        </is>
      </c>
      <c r="C26" s="6" t="inlineStr">
        <is>
          <t>N11</t>
        </is>
      </c>
      <c r="D26" s="6" t="inlineStr">
        <is>
          <t>Hepsiburada</t>
        </is>
      </c>
      <c r="E26" s="6" t="inlineStr">
        <is>
          <t>PttAVM</t>
        </is>
      </c>
      <c r="F26" s="6" t="inlineStr">
        <is>
          <t>Çiçek Sepeti</t>
        </is>
      </c>
      <c r="G26" s="6" t="inlineStr">
        <is>
          <t>Amazon Türkiye</t>
        </is>
      </c>
    </row>
    <row r="27">
      <c r="A27" s="6" t="inlineStr">
        <is>
          <t>Trendyol</t>
        </is>
      </c>
      <c r="B27" s="11" t="inlineStr"/>
      <c r="C27" s="11">
        <f>IFERROR(MAX(IF(B5:F5&lt;B6:F6,B6:F6-B5:F5,0))/MAX(ABS(B5:F5-B6:F6)),0)</f>
        <v/>
      </c>
      <c r="D27" s="11">
        <f>IFERROR(MAX(IF(B5:F5&lt;B7:F7,B7:F7-B5:F5,0))/MAX(ABS(B5:F5-B7:F7)),0)</f>
        <v/>
      </c>
      <c r="E27" s="11">
        <f>IFERROR(MAX(IF(B5:F5&lt;B8:F8,B8:F8-B5:F5,0))/MAX(ABS(B5:F5-B8:F8)),0)</f>
        <v/>
      </c>
      <c r="F27" s="11">
        <f>IFERROR(MAX(IF(B5:F5&lt;B9:F9,B9:F9-B5:F5,0))/MAX(ABS(B5:F5-B9:F9)),0)</f>
        <v/>
      </c>
      <c r="G27" s="11">
        <f>IFERROR(MAX(IF(B5:F5&lt;B10:F10,B10:F10-B5:F5,0))/MAX(ABS(B5:F5-B10:F10)),0)</f>
        <v/>
      </c>
    </row>
    <row r="28">
      <c r="A28" s="6" t="inlineStr">
        <is>
          <t>N11</t>
        </is>
      </c>
      <c r="B28" s="11">
        <f>IFERROR(MAX(IF(B6:F6&lt;B5:F5,B5:F5-B6:F6,0))/MAX(ABS(B6:F6-B5:F5)),0)</f>
        <v/>
      </c>
      <c r="C28" s="11" t="inlineStr"/>
      <c r="D28" s="11">
        <f>IFERROR(MAX(IF(B6:F6&lt;B7:F7,B7:F7-B6:F6,0))/MAX(ABS(B6:F6-B7:F7)),0)</f>
        <v/>
      </c>
      <c r="E28" s="11">
        <f>IFERROR(MAX(IF(B6:F6&lt;B8:F8,B8:F8-B6:F6,0))/MAX(ABS(B6:F6-B8:F8)),0)</f>
        <v/>
      </c>
      <c r="F28" s="11">
        <f>IFERROR(MAX(IF(B6:F6&lt;B9:F9,B9:F9-B6:F6,0))/MAX(ABS(B6:F6-B9:F9)),0)</f>
        <v/>
      </c>
      <c r="G28" s="11">
        <f>IFERROR(MAX(IF(B6:F6&lt;B10:F10,B10:F10-B6:F6,0))/MAX(ABS(B6:F6-B10:F10)),0)</f>
        <v/>
      </c>
    </row>
    <row r="29">
      <c r="A29" s="6" t="inlineStr">
        <is>
          <t>Hepsiburada</t>
        </is>
      </c>
      <c r="B29" s="11">
        <f>IFERROR(MAX(IF(B7:F7&lt;B5:F5,B5:F5-B7:F7,0))/MAX(ABS(B7:F7-B5:F5)),0)</f>
        <v/>
      </c>
      <c r="C29" s="11">
        <f>IFERROR(MAX(IF(B7:F7&lt;B6:F6,B6:F6-B7:F7,0))/MAX(ABS(B7:F7-B6:F6)),0)</f>
        <v/>
      </c>
      <c r="D29" s="11" t="inlineStr"/>
      <c r="E29" s="11">
        <f>IFERROR(MAX(IF(B7:F7&lt;B8:F8,B8:F8-B7:F7,0))/MAX(ABS(B7:F7-B8:F8)),0)</f>
        <v/>
      </c>
      <c r="F29" s="11">
        <f>IFERROR(MAX(IF(B7:F7&lt;B9:F9,B9:F9-B7:F7,0))/MAX(ABS(B7:F7-B9:F9)),0)</f>
        <v/>
      </c>
      <c r="G29" s="11">
        <f>IFERROR(MAX(IF(B7:F7&lt;B10:F10,B10:F10-B7:F7,0))/MAX(ABS(B7:F7-B10:F10)),0)</f>
        <v/>
      </c>
    </row>
    <row r="30">
      <c r="A30" s="6" t="inlineStr">
        <is>
          <t>PttAVM</t>
        </is>
      </c>
      <c r="B30" s="11">
        <f>IFERROR(MAX(IF(B8:F8&lt;B5:F5,B5:F5-B8:F8,0))/MAX(ABS(B8:F8-B5:F5)),0)</f>
        <v/>
      </c>
      <c r="C30" s="11">
        <f>IFERROR(MAX(IF(B8:F8&lt;B6:F6,B6:F6-B8:F8,0))/MAX(ABS(B8:F8-B6:F6)),0)</f>
        <v/>
      </c>
      <c r="D30" s="11">
        <f>IFERROR(MAX(IF(B8:F8&lt;B7:F7,B7:F7-B8:F8,0))/MAX(ABS(B8:F8-B7:F7)),0)</f>
        <v/>
      </c>
      <c r="E30" s="11" t="inlineStr"/>
      <c r="F30" s="11">
        <f>IFERROR(MAX(IF(B8:F8&lt;B9:F9,B9:F9-B8:F8,0))/MAX(ABS(B8:F8-B9:F9)),0)</f>
        <v/>
      </c>
      <c r="G30" s="11">
        <f>IFERROR(MAX(IF(B8:F8&lt;B10:F10,B10:F10-B8:F8,0))/MAX(ABS(B8:F8-B10:F10)),0)</f>
        <v/>
      </c>
    </row>
    <row r="31">
      <c r="A31" s="6" t="inlineStr">
        <is>
          <t>Çiçek Sepeti</t>
        </is>
      </c>
      <c r="B31" s="11">
        <f>IFERROR(MAX(IF(B9:F9&lt;B5:F5,B5:F5-B9:F9,0))/MAX(ABS(B9:F9-B5:F5)),0)</f>
        <v/>
      </c>
      <c r="C31" s="11">
        <f>IFERROR(MAX(IF(B9:F9&lt;B6:F6,B6:F6-B9:F9,0))/MAX(ABS(B9:F9-B6:F6)),0)</f>
        <v/>
      </c>
      <c r="D31" s="11">
        <f>IFERROR(MAX(IF(B9:F9&lt;B7:F7,B7:F7-B9:F9,0))/MAX(ABS(B9:F9-B7:F7)),0)</f>
        <v/>
      </c>
      <c r="E31" s="11">
        <f>IFERROR(MAX(IF(B9:F9&lt;B8:F8,B8:F8-B9:F9,0))/MAX(ABS(B9:F9-B8:F8)),0)</f>
        <v/>
      </c>
      <c r="F31" s="11" t="inlineStr"/>
      <c r="G31" s="11">
        <f>IFERROR(MAX(IF(B9:F9&lt;B10:F10,B10:F10-B9:F9,0))/MAX(ABS(B9:F9-B10:F10)),0)</f>
        <v/>
      </c>
    </row>
    <row r="32">
      <c r="A32" s="6" t="inlineStr">
        <is>
          <t>Amazon Türkiye</t>
        </is>
      </c>
      <c r="B32" s="11">
        <f>IFERROR(MAX(IF(B10:F10&lt;B5:F5,B5:F5-B10:F10,0))/MAX(ABS(B10:F10-B5:F5)),0)</f>
        <v/>
      </c>
      <c r="C32" s="11">
        <f>IFERROR(MAX(IF(B10:F10&lt;B6:F6,B6:F6-B10:F10,0))/MAX(ABS(B10:F10-B6:F6)),0)</f>
        <v/>
      </c>
      <c r="D32" s="11">
        <f>IFERROR(MAX(IF(B10:F10&lt;B7:F7,B7:F7-B10:F10,0))/MAX(ABS(B10:F10-B7:F7)),0)</f>
        <v/>
      </c>
      <c r="E32" s="11">
        <f>IFERROR(MAX(IF(B10:F10&lt;B8:F8,B8:F8-B10:F10,0))/MAX(ABS(B10:F10-B8:F8)),0)</f>
        <v/>
      </c>
      <c r="F32" s="11">
        <f>IFERROR(MAX(IF(B10:F10&lt;B9:F9,B9:F9-B10:F10,0))/MAX(ABS(B10:F10-B9:F9)),0)</f>
        <v/>
      </c>
      <c r="G32" s="11" t="inlineStr"/>
    </row>
    <row r="34">
      <c r="A34" s="6" t="inlineStr">
        <is>
          <t>Uyum Eşiği c̄ (off-diag ort.)</t>
        </is>
      </c>
      <c r="B34" s="11">
        <f>SUM(B18:G23)/(30)</f>
        <v/>
      </c>
    </row>
    <row r="35">
      <c r="A35" s="6" t="inlineStr">
        <is>
          <t>Uyumsuzluk Eşiği d̄ (off-diag ort.)</t>
        </is>
      </c>
      <c r="B35" s="11">
        <f>SUM(B27:G32)/(30)</f>
        <v/>
      </c>
    </row>
    <row r="37">
      <c r="A37" s="6" t="inlineStr">
        <is>
          <t>Üstünlük Matrisi (1 = baskın)</t>
        </is>
      </c>
      <c r="B37" s="10" t="n"/>
      <c r="C37" s="10" t="n"/>
      <c r="D37" s="10" t="n"/>
      <c r="E37" s="10" t="n"/>
      <c r="F37" s="10" t="n"/>
      <c r="G37" s="7" t="n"/>
    </row>
    <row r="38">
      <c r="B38" s="6" t="inlineStr">
        <is>
          <t>Trendyol</t>
        </is>
      </c>
      <c r="C38" s="6" t="inlineStr">
        <is>
          <t>N11</t>
        </is>
      </c>
      <c r="D38" s="6" t="inlineStr">
        <is>
          <t>Hepsiburada</t>
        </is>
      </c>
      <c r="E38" s="6" t="inlineStr">
        <is>
          <t>PttAVM</t>
        </is>
      </c>
      <c r="F38" s="6" t="inlineStr">
        <is>
          <t>Çiçek Sepeti</t>
        </is>
      </c>
      <c r="G38" s="6" t="inlineStr">
        <is>
          <t>Amazon Türkiye</t>
        </is>
      </c>
    </row>
    <row r="39">
      <c r="A39" s="6" t="inlineStr">
        <is>
          <t>Trendyol</t>
        </is>
      </c>
      <c r="B39" s="13" t="inlineStr"/>
      <c r="C39" s="13">
        <f>IF(AND(C18&gt;=B34,C27&lt;=B35),1,0)</f>
        <v/>
      </c>
      <c r="D39" s="13">
        <f>IF(AND(D18&gt;=B34,D27&lt;=B35),1,0)</f>
        <v/>
      </c>
      <c r="E39" s="13">
        <f>IF(AND(E18&gt;=B34,E27&lt;=B35),1,0)</f>
        <v/>
      </c>
      <c r="F39" s="13">
        <f>IF(AND(F18&gt;=B34,F27&lt;=B35),1,0)</f>
        <v/>
      </c>
      <c r="G39" s="13">
        <f>IF(AND(G18&gt;=B34,G27&lt;=B35),1,0)</f>
        <v/>
      </c>
    </row>
    <row r="40">
      <c r="A40" s="6" t="inlineStr">
        <is>
          <t>N11</t>
        </is>
      </c>
      <c r="B40" s="13">
        <f>IF(AND(B19&gt;=B34,B28&lt;=B35),1,0)</f>
        <v/>
      </c>
      <c r="C40" s="13" t="inlineStr"/>
      <c r="D40" s="13">
        <f>IF(AND(D19&gt;=B34,D28&lt;=B35),1,0)</f>
        <v/>
      </c>
      <c r="E40" s="13">
        <f>IF(AND(E19&gt;=B34,E28&lt;=B35),1,0)</f>
        <v/>
      </c>
      <c r="F40" s="13">
        <f>IF(AND(F19&gt;=B34,F28&lt;=B35),1,0)</f>
        <v/>
      </c>
      <c r="G40" s="13">
        <f>IF(AND(G19&gt;=B34,G28&lt;=B35),1,0)</f>
        <v/>
      </c>
    </row>
    <row r="41">
      <c r="A41" s="6" t="inlineStr">
        <is>
          <t>Hepsiburada</t>
        </is>
      </c>
      <c r="B41" s="13">
        <f>IF(AND(B20&gt;=B34,B29&lt;=B35),1,0)</f>
        <v/>
      </c>
      <c r="C41" s="13">
        <f>IF(AND(C20&gt;=B34,C29&lt;=B35),1,0)</f>
        <v/>
      </c>
      <c r="D41" s="13" t="inlineStr"/>
      <c r="E41" s="13">
        <f>IF(AND(E20&gt;=B34,E29&lt;=B35),1,0)</f>
        <v/>
      </c>
      <c r="F41" s="13">
        <f>IF(AND(F20&gt;=B34,F29&lt;=B35),1,0)</f>
        <v/>
      </c>
      <c r="G41" s="13">
        <f>IF(AND(G20&gt;=B34,G29&lt;=B35),1,0)</f>
        <v/>
      </c>
    </row>
    <row r="42">
      <c r="A42" s="6" t="inlineStr">
        <is>
          <t>PttAVM</t>
        </is>
      </c>
      <c r="B42" s="13">
        <f>IF(AND(B21&gt;=B34,B30&lt;=B35),1,0)</f>
        <v/>
      </c>
      <c r="C42" s="13">
        <f>IF(AND(C21&gt;=B34,C30&lt;=B35),1,0)</f>
        <v/>
      </c>
      <c r="D42" s="13">
        <f>IF(AND(D21&gt;=B34,D30&lt;=B35),1,0)</f>
        <v/>
      </c>
      <c r="E42" s="13" t="inlineStr"/>
      <c r="F42" s="13">
        <f>IF(AND(F21&gt;=B34,F30&lt;=B35),1,0)</f>
        <v/>
      </c>
      <c r="G42" s="13">
        <f>IF(AND(G21&gt;=B34,G30&lt;=B35),1,0)</f>
        <v/>
      </c>
    </row>
    <row r="43">
      <c r="A43" s="6" t="inlineStr">
        <is>
          <t>Çiçek Sepeti</t>
        </is>
      </c>
      <c r="B43" s="13">
        <f>IF(AND(B22&gt;=B34,B31&lt;=B35),1,0)</f>
        <v/>
      </c>
      <c r="C43" s="13">
        <f>IF(AND(C22&gt;=B34,C31&lt;=B35),1,0)</f>
        <v/>
      </c>
      <c r="D43" s="13">
        <f>IF(AND(D22&gt;=B34,D31&lt;=B35),1,0)</f>
        <v/>
      </c>
      <c r="E43" s="13">
        <f>IF(AND(E22&gt;=B34,E31&lt;=B35),1,0)</f>
        <v/>
      </c>
      <c r="F43" s="13" t="inlineStr"/>
      <c r="G43" s="13">
        <f>IF(AND(G22&gt;=B34,G31&lt;=B35),1,0)</f>
        <v/>
      </c>
    </row>
    <row r="44">
      <c r="A44" s="6" t="inlineStr">
        <is>
          <t>Amazon Türkiye</t>
        </is>
      </c>
      <c r="B44" s="13">
        <f>IF(AND(B23&gt;=B34,B32&lt;=B35),1,0)</f>
        <v/>
      </c>
      <c r="C44" s="13">
        <f>IF(AND(C23&gt;=B34,C32&lt;=B35),1,0)</f>
        <v/>
      </c>
      <c r="D44" s="13">
        <f>IF(AND(D23&gt;=B34,D32&lt;=B35),1,0)</f>
        <v/>
      </c>
      <c r="E44" s="13">
        <f>IF(AND(E23&gt;=B34,E32&lt;=B35),1,0)</f>
        <v/>
      </c>
      <c r="F44" s="13">
        <f>IF(AND(F23&gt;=B34,F32&lt;=B35),1,0)</f>
        <v/>
      </c>
      <c r="G44" s="13" t="inlineStr"/>
    </row>
    <row r="46">
      <c r="A46" s="6" t="inlineStr">
        <is>
          <t>Alternatif</t>
        </is>
      </c>
      <c r="B46" s="6" t="inlineStr">
        <is>
          <t>Baskınlık (satır)</t>
        </is>
      </c>
      <c r="C46" s="6" t="inlineStr">
        <is>
          <t>Bağımlılık (sütun)</t>
        </is>
      </c>
      <c r="D46" s="6" t="inlineStr">
        <is>
          <t>Net Skor</t>
        </is>
      </c>
      <c r="E46" s="6" t="inlineStr">
        <is>
          <t>Sıra</t>
        </is>
      </c>
    </row>
    <row r="47">
      <c r="A47" s="6" t="inlineStr">
        <is>
          <t>Trendyol</t>
        </is>
      </c>
      <c r="B47" s="13">
        <f>SUM(B39:G39)</f>
        <v/>
      </c>
      <c r="C47" s="13">
        <f>SUM(B39:B44)</f>
        <v/>
      </c>
      <c r="D47" s="13">
        <f>B47-C47</f>
        <v/>
      </c>
      <c r="E47" s="17">
        <f>RANK(D47,$D$47:$D$52)</f>
        <v/>
      </c>
    </row>
    <row r="48">
      <c r="A48" s="6" t="inlineStr">
        <is>
          <t>N11</t>
        </is>
      </c>
      <c r="B48" s="13">
        <f>SUM(B40:G40)</f>
        <v/>
      </c>
      <c r="C48" s="13">
        <f>SUM(C39:C44)</f>
        <v/>
      </c>
      <c r="D48" s="13">
        <f>B48-C48</f>
        <v/>
      </c>
      <c r="E48" s="17">
        <f>RANK(D48,$D$47:$D$52)</f>
        <v/>
      </c>
    </row>
    <row r="49">
      <c r="A49" s="6" t="inlineStr">
        <is>
          <t>Hepsiburada</t>
        </is>
      </c>
      <c r="B49" s="13">
        <f>SUM(B41:G41)</f>
        <v/>
      </c>
      <c r="C49" s="13">
        <f>SUM(D39:D44)</f>
        <v/>
      </c>
      <c r="D49" s="13">
        <f>B49-C49</f>
        <v/>
      </c>
      <c r="E49" s="17">
        <f>RANK(D49,$D$47:$D$52)</f>
        <v/>
      </c>
    </row>
    <row r="50">
      <c r="A50" s="6" t="inlineStr">
        <is>
          <t>PttAVM</t>
        </is>
      </c>
      <c r="B50" s="13">
        <f>SUM(B42:G42)</f>
        <v/>
      </c>
      <c r="C50" s="13">
        <f>SUM(E39:E44)</f>
        <v/>
      </c>
      <c r="D50" s="13">
        <f>B50-C50</f>
        <v/>
      </c>
      <c r="E50" s="17">
        <f>RANK(D50,$D$47:$D$52)</f>
        <v/>
      </c>
    </row>
    <row r="51">
      <c r="A51" s="6" t="inlineStr">
        <is>
          <t>Çiçek Sepeti</t>
        </is>
      </c>
      <c r="B51" s="13">
        <f>SUM(B43:G43)</f>
        <v/>
      </c>
      <c r="C51" s="13">
        <f>SUM(F39:F44)</f>
        <v/>
      </c>
      <c r="D51" s="13">
        <f>B51-C51</f>
        <v/>
      </c>
      <c r="E51" s="17">
        <f>RANK(D51,$D$47:$D$52)</f>
        <v/>
      </c>
    </row>
    <row r="52">
      <c r="A52" s="6" t="inlineStr">
        <is>
          <t>Amazon Türkiye</t>
        </is>
      </c>
      <c r="B52" s="13">
        <f>SUM(B44:G44)</f>
        <v/>
      </c>
      <c r="C52" s="13">
        <f>SUM(G39:G44)</f>
        <v/>
      </c>
      <c r="D52" s="13">
        <f>B52-C52</f>
        <v/>
      </c>
      <c r="E52" s="17">
        <f>RANK(D52,$D$47:$D$52)</f>
        <v/>
      </c>
    </row>
  </sheetData>
  <mergeCells count="6">
    <mergeCell ref="A1:H1"/>
    <mergeCell ref="A16:G16"/>
    <mergeCell ref="A12:F12"/>
    <mergeCell ref="A25:G25"/>
    <mergeCell ref="A3:F3"/>
    <mergeCell ref="A37:G37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5" t="inlineStr">
        <is>
          <t>FİNAL SIRALAMA - TOPSIS vs ELECTRE</t>
        </is>
      </c>
    </row>
    <row r="3">
      <c r="A3" s="6" t="inlineStr">
        <is>
          <t>Alternatif</t>
        </is>
      </c>
      <c r="B3" s="6" t="inlineStr">
        <is>
          <t>TOPSIS C</t>
        </is>
      </c>
      <c r="C3" s="6" t="inlineStr">
        <is>
          <t>TOPSIS Sıra</t>
        </is>
      </c>
      <c r="D3" s="6" t="inlineStr">
        <is>
          <t>ELECTRE Net</t>
        </is>
      </c>
      <c r="E3" s="6" t="inlineStr">
        <is>
          <t>ELECTRE Sıra</t>
        </is>
      </c>
    </row>
    <row r="4">
      <c r="A4" s="6" t="inlineStr">
        <is>
          <t>Trendyol</t>
        </is>
      </c>
      <c r="B4" s="11">
        <f>TOPSIS!D39</f>
        <v/>
      </c>
      <c r="C4" s="17">
        <f>TOPSIS!E39</f>
        <v/>
      </c>
      <c r="D4" s="13">
        <f>ELECTRE!D47</f>
        <v/>
      </c>
      <c r="E4" s="17">
        <f>ELECTRE!E47</f>
        <v/>
      </c>
    </row>
    <row r="5">
      <c r="A5" s="6" t="inlineStr">
        <is>
          <t>N11</t>
        </is>
      </c>
      <c r="B5" s="11">
        <f>TOPSIS!D40</f>
        <v/>
      </c>
      <c r="C5" s="17">
        <f>TOPSIS!E40</f>
        <v/>
      </c>
      <c r="D5" s="13">
        <f>ELECTRE!D48</f>
        <v/>
      </c>
      <c r="E5" s="17">
        <f>ELECTRE!E48</f>
        <v/>
      </c>
    </row>
    <row r="6">
      <c r="A6" s="6" t="inlineStr">
        <is>
          <t>Hepsiburada</t>
        </is>
      </c>
      <c r="B6" s="11">
        <f>TOPSIS!D41</f>
        <v/>
      </c>
      <c r="C6" s="17">
        <f>TOPSIS!E41</f>
        <v/>
      </c>
      <c r="D6" s="13">
        <f>ELECTRE!D49</f>
        <v/>
      </c>
      <c r="E6" s="17">
        <f>ELECTRE!E49</f>
        <v/>
      </c>
    </row>
    <row r="7">
      <c r="A7" s="6" t="inlineStr">
        <is>
          <t>PttAVM</t>
        </is>
      </c>
      <c r="B7" s="11">
        <f>TOPSIS!D42</f>
        <v/>
      </c>
      <c r="C7" s="17">
        <f>TOPSIS!E42</f>
        <v/>
      </c>
      <c r="D7" s="13">
        <f>ELECTRE!D50</f>
        <v/>
      </c>
      <c r="E7" s="17">
        <f>ELECTRE!E50</f>
        <v/>
      </c>
    </row>
    <row r="8">
      <c r="A8" s="6" t="inlineStr">
        <is>
          <t>Çiçek Sepeti</t>
        </is>
      </c>
      <c r="B8" s="11">
        <f>TOPSIS!D43</f>
        <v/>
      </c>
      <c r="C8" s="17">
        <f>TOPSIS!E43</f>
        <v/>
      </c>
      <c r="D8" s="13">
        <f>ELECTRE!D51</f>
        <v/>
      </c>
      <c r="E8" s="17">
        <f>ELECTRE!E51</f>
        <v/>
      </c>
    </row>
    <row r="9">
      <c r="A9" s="6" t="inlineStr">
        <is>
          <t>Amazon Türkiye</t>
        </is>
      </c>
      <c r="B9" s="11">
        <f>TOPSIS!D44</f>
        <v/>
      </c>
      <c r="C9" s="17">
        <f>TOPSIS!E44</f>
        <v/>
      </c>
      <c r="D9" s="13">
        <f>ELECTRE!D52</f>
        <v/>
      </c>
      <c r="E9" s="17">
        <f>ELECTRE!E52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2026-05-25T15:28:54Z</dcterms:created>
  <dcterms:modified xmlns:dcterms="http://purl.org/dc/terms/" xmlns:xsi="http://www.w3.org/2001/XMLSchema-instance" xsi:type="dcterms:W3CDTF">2026-05-25T15:28:55Z</dcterms:modified>
</cp:coreProperties>
</file>