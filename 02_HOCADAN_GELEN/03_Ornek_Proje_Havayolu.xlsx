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nalipour\Desktop\1.donem\4.dönem\Karar destek sistemleri\"/>
    </mc:Choice>
  </mc:AlternateContent>
  <bookViews>
    <workbookView xWindow="0" yWindow="0" windowWidth="19632" windowHeight="7488" firstSheet="1" activeTab="5"/>
  </bookViews>
  <sheets>
    <sheet name="katılımcı 1" sheetId="1" r:id="rId1"/>
    <sheet name="katılımcı 2" sheetId="2" r:id="rId2"/>
    <sheet name="katılımcı 3" sheetId="3" r:id="rId3"/>
    <sheet name="...katılımcı25" sheetId="7" r:id="rId4"/>
    <sheet name="katılımcıların ortalama cevabı" sheetId="4" r:id="rId5"/>
    <sheet name="Topsis" sheetId="5" r:id="rId6"/>
    <sheet name="Electre" sheetId="6" r:id="rId7"/>
  </sheets>
  <definedNames>
    <definedName name="yas">'katılımcı 1'!$A:$A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2" i="5" l="1"/>
  <c r="I91" i="5"/>
  <c r="I90" i="5"/>
  <c r="I89" i="5"/>
  <c r="F77" i="5"/>
  <c r="B77" i="5"/>
  <c r="H92" i="5" s="1"/>
  <c r="F62" i="5"/>
  <c r="E62" i="5"/>
  <c r="D62" i="5"/>
  <c r="D77" i="5" s="1"/>
  <c r="C62" i="5"/>
  <c r="C77" i="5" s="1"/>
  <c r="B62" i="5"/>
  <c r="F61" i="5"/>
  <c r="E61" i="5"/>
  <c r="E77" i="5" s="1"/>
  <c r="D61" i="5"/>
  <c r="C61" i="5"/>
  <c r="B61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19" i="5"/>
  <c r="E19" i="5"/>
  <c r="D19" i="5"/>
  <c r="C19" i="5"/>
  <c r="B19" i="5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N6" i="4"/>
  <c r="N5" i="4"/>
  <c r="N4" i="4"/>
  <c r="N3" i="4"/>
  <c r="N2" i="4"/>
  <c r="H89" i="5" l="1"/>
  <c r="H90" i="5"/>
  <c r="H91" i="5"/>
</calcChain>
</file>

<file path=xl/sharedStrings.xml><?xml version="1.0" encoding="utf-8"?>
<sst xmlns="http://schemas.openxmlformats.org/spreadsheetml/2006/main" count="469" uniqueCount="129">
  <si>
    <t>z</t>
  </si>
  <si>
    <t>uçuşların zamanında gerçekleşme oranı</t>
  </si>
  <si>
    <t>*</t>
  </si>
  <si>
    <t>bilet fiyatları</t>
  </si>
  <si>
    <t>uçak içi koltuk ve konfor düzeni</t>
  </si>
  <si>
    <t>havalimanı hizmet kalitesi ve kolaylığı</t>
  </si>
  <si>
    <t>güvenlik ve güvenlik algısı</t>
  </si>
  <si>
    <t>CI</t>
  </si>
  <si>
    <t>CR</t>
  </si>
  <si>
    <t>1.yas</t>
  </si>
  <si>
    <t>2.cinsiyet</t>
  </si>
  <si>
    <t>3. eğitim</t>
  </si>
  <si>
    <t>4.meslek</t>
  </si>
  <si>
    <t>5.amac</t>
  </si>
  <si>
    <t>6. kaç kez</t>
  </si>
  <si>
    <t>7. uçma sınıfı</t>
  </si>
  <si>
    <t>8.etkilenme sebebi</t>
  </si>
  <si>
    <t>Uçuşların Zamanında Gerçekleşme Oranı</t>
  </si>
  <si>
    <t>Bilet Fiyatları</t>
  </si>
  <si>
    <t>Uçak İçi Konfor ve Koltuk Düzeni</t>
  </si>
  <si>
    <t>Havalimanı Hizmet Kalitesi ve Kolaylığı</t>
  </si>
  <si>
    <t>Güvenlik ve Güvenlik Algısı</t>
  </si>
  <si>
    <t>AJET</t>
  </si>
  <si>
    <t>PEGASUS</t>
  </si>
  <si>
    <t>SUNEXPRESS</t>
  </si>
  <si>
    <t xml:space="preserve">TÜRK HAVA YOLLARI </t>
  </si>
  <si>
    <t>AHP</t>
  </si>
  <si>
    <t>K1</t>
  </si>
  <si>
    <t>K2</t>
  </si>
  <si>
    <t>K3</t>
  </si>
  <si>
    <t>K4</t>
  </si>
  <si>
    <t>K5</t>
  </si>
  <si>
    <t>ÖZV</t>
  </si>
  <si>
    <t>ÖZD</t>
  </si>
  <si>
    <t>ENBÖZD</t>
  </si>
  <si>
    <t>karar matrisi</t>
  </si>
  <si>
    <t>normalızasyon</t>
  </si>
  <si>
    <t>1.katılımcının anket cevapları ve ahp ağrlık hesaplaması</t>
  </si>
  <si>
    <t>25 kişiye ayni şekilde ister tek excel dosyası ister 25 ayrı excel dosya oluşturmanız gerekiyor</t>
  </si>
  <si>
    <t>25 kişinin ayrı ayrı kriter ağrlıklarını bulduktan sonra word dosyasında duyuruda belirtiğim gibi  25 kişin geometrik ağrlıklarını alarak her kriter için topsiste kullanılabilecek tek bir ağrlık elde edilecektir..</t>
  </si>
  <si>
    <t>2. katılımcının anket cevapları ve ahp ağrlık hesaplaması</t>
  </si>
  <si>
    <t>3. katılımcının anket cevapları ve ahp ağrlık hesaplaması</t>
  </si>
  <si>
    <t>Tüm aşamalarda formol yazılmalı</t>
  </si>
  <si>
    <t>Diğer dosyadan devamını takip edebilirsiniz</t>
  </si>
  <si>
    <t>12 kişinin Ahp geometrik ortalama</t>
  </si>
  <si>
    <t>Sheet1</t>
  </si>
  <si>
    <t>Sheet2</t>
  </si>
  <si>
    <t>Sheet3</t>
  </si>
  <si>
    <t>Sheet4</t>
  </si>
  <si>
    <t>Sheet5</t>
  </si>
  <si>
    <t>Sheet6</t>
  </si>
  <si>
    <t>Sheet7</t>
  </si>
  <si>
    <t>Sheet8</t>
  </si>
  <si>
    <t>Sheet9</t>
  </si>
  <si>
    <t>Sheet10</t>
  </si>
  <si>
    <t>Sheet11</t>
  </si>
  <si>
    <t>Sheet12</t>
  </si>
  <si>
    <t>Ağırlıklı Geometrik Ortalama</t>
  </si>
  <si>
    <t>12 kişinin topsisle ilgili verdikleri cevapların aritmetik ortalamsı</t>
  </si>
  <si>
    <t>Katılımcılar</t>
  </si>
  <si>
    <t>Havayolu Şirketleri</t>
  </si>
  <si>
    <t>Uçakların Zamanında Gerçekleşme Oranı</t>
  </si>
  <si>
    <t>Katılımcı (1. oy)</t>
  </si>
  <si>
    <t>Türk Hava Yolları</t>
  </si>
  <si>
    <t>Katılımcı (2. oy)</t>
  </si>
  <si>
    <t>Pegasus Havayolları</t>
  </si>
  <si>
    <t>Katılımcı (3. oy)</t>
  </si>
  <si>
    <t>SunExpress Havayolları</t>
  </si>
  <si>
    <t>Katılımcı (4. oy)</t>
  </si>
  <si>
    <t>AJet Havayolları</t>
  </si>
  <si>
    <t>Katılımcı 2 (1. oy)</t>
  </si>
  <si>
    <t>Katılımcı 2 (2. oy)</t>
  </si>
  <si>
    <t>Katılımcı 2 (3. oy)</t>
  </si>
  <si>
    <t>Katılımcı 2 (4. oy)</t>
  </si>
  <si>
    <t>Katılımcı 3 (1. oy)</t>
  </si>
  <si>
    <t>Katılımcı 3 (2. oy)</t>
  </si>
  <si>
    <t>Katılımcı 4 (1. oy)</t>
  </si>
  <si>
    <t>Katılımcı 4 (2. oy)</t>
  </si>
  <si>
    <t>Katılımcı 5 (1. oy)</t>
  </si>
  <si>
    <t>Katılımcı 5 (2. oy)</t>
  </si>
  <si>
    <t>Katılımcı 5 (3. oy)</t>
  </si>
  <si>
    <t>Katılımcı 6 (1. oy)</t>
  </si>
  <si>
    <t>Katılımcı 6 (2. oy)</t>
  </si>
  <si>
    <t>Katılımcı 6 (3. oy)</t>
  </si>
  <si>
    <t>Katılımcı 7 (1. oy)</t>
  </si>
  <si>
    <t>Katılımcı 7 (2. oy)</t>
  </si>
  <si>
    <t>Katılımcı 7 (3. oy)</t>
  </si>
  <si>
    <t>Katılımcı 7 (4. oy)</t>
  </si>
  <si>
    <t>Katılımcı 8 (1.oy)</t>
  </si>
  <si>
    <t>Katılımcı  9 (1. oy)</t>
  </si>
  <si>
    <t>Katılımcı  9 (2. oy)</t>
  </si>
  <si>
    <t>Katılımcı  9 (3. oy)</t>
  </si>
  <si>
    <t>Katılımcı  9 (4. oy)</t>
  </si>
  <si>
    <t>Katılımcı 10 (1. oy)</t>
  </si>
  <si>
    <t>Katılımcı 10 (2. oy)</t>
  </si>
  <si>
    <t>Katılımcı 11 (1. oy)</t>
  </si>
  <si>
    <t>Katılımcı 11 (2. oy)</t>
  </si>
  <si>
    <t>Katılımcı 12</t>
  </si>
  <si>
    <t>Topsis 25 kişinin aritmetik ortalaması</t>
  </si>
  <si>
    <t>Ortalama Karar Matrisi</t>
  </si>
  <si>
    <t>Kriterler</t>
  </si>
  <si>
    <t>Ağırlıklar(geometrik ortalama cevapları yazılamlı ben rastgele yazdım</t>
  </si>
  <si>
    <t>Pegasus HavaYolları</t>
  </si>
  <si>
    <t>Ajet Havayolları</t>
  </si>
  <si>
    <t>yukardaki tabloy hem Topsis hem Electre için kullanılacaktır</t>
  </si>
  <si>
    <t>Topsisden elde edilen aritmetik ortalama</t>
  </si>
  <si>
    <t>Kazanç (Fayda)</t>
  </si>
  <si>
    <t>Maliyet</t>
  </si>
  <si>
    <t>Ağırlıklar</t>
  </si>
  <si>
    <t>Türk Havayolları</t>
  </si>
  <si>
    <t>Alternatifler</t>
  </si>
  <si>
    <t>Her aşamada formoller yazılmalı. Sadece cevaplar kabul edilmeyecek</t>
  </si>
  <si>
    <t>Normalize Matrisin Oluşturulması için Sütun Toplamının Hesaplanması</t>
  </si>
  <si>
    <t>TOPLAM</t>
  </si>
  <si>
    <t>Normalize Matris</t>
  </si>
  <si>
    <t>Ağırlıklandırılmış Normalize Matris</t>
  </si>
  <si>
    <t>Pozitif ve Negatif İdeal Çözümlerin Hesaplanması</t>
  </si>
  <si>
    <t>A+</t>
  </si>
  <si>
    <t>A-</t>
  </si>
  <si>
    <r>
      <t>S</t>
    </r>
    <r>
      <rPr>
        <b/>
        <i/>
        <vertAlign val="superscript"/>
        <sz val="12"/>
        <rFont val="Times New Roman"/>
        <family val="1"/>
      </rPr>
      <t>+</t>
    </r>
  </si>
  <si>
    <r>
      <t>S</t>
    </r>
    <r>
      <rPr>
        <b/>
        <i/>
        <vertAlign val="superscript"/>
        <sz val="12"/>
        <rFont val="Times New Roman"/>
        <family val="1"/>
      </rPr>
      <t>-</t>
    </r>
  </si>
  <si>
    <r>
      <t>A</t>
    </r>
    <r>
      <rPr>
        <vertAlign val="superscript"/>
        <sz val="12"/>
        <rFont val="Calibri"/>
        <family val="2"/>
        <charset val="162"/>
      </rPr>
      <t>+</t>
    </r>
  </si>
  <si>
    <r>
      <t>A</t>
    </r>
    <r>
      <rPr>
        <vertAlign val="superscript"/>
        <sz val="12"/>
        <rFont val="Calibri"/>
        <family val="2"/>
        <charset val="162"/>
      </rPr>
      <t>-</t>
    </r>
  </si>
  <si>
    <t>Tercih Skorunun Hesaplanması</t>
  </si>
  <si>
    <t>Ci</t>
  </si>
  <si>
    <t>Sıralama</t>
  </si>
  <si>
    <t>Electre için de ayni şekilde adım adım formollerle hesaplamalrı yapılacaktrı</t>
  </si>
  <si>
    <t>Topsis ve electre için ortalma alındığı için bir kere hesaplama yapılacaktır.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</si>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</sst>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.5"/>
      <color rgb="FF000000"/>
      <name val="Times New Roman"/>
      <family val="1"/>
      <charset val="162"/>
    </font>
    <font>
      <i/>
      <sz val="20"/>
      <color theme="1"/>
      <name val="Times New Roman"/>
      <family val="1"/>
    </font>
    <font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8"/>
      <color rgb="FF0F1115"/>
      <name val="Consolas"/>
      <family val="3"/>
      <charset val="162"/>
    </font>
    <font>
      <i/>
      <sz val="11"/>
      <name val="Times New Roman"/>
      <family val="1"/>
    </font>
    <font>
      <i/>
      <sz val="9"/>
      <name val="Times New Roman"/>
      <family val="1"/>
      <charset val="162"/>
    </font>
    <font>
      <i/>
      <sz val="11"/>
      <color rgb="FFFF0000"/>
      <name val="Times New Roman"/>
      <family val="1"/>
      <charset val="162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i/>
      <vertAlign val="superscript"/>
      <sz val="12"/>
      <name val="Times New Roman"/>
      <family val="1"/>
    </font>
    <font>
      <sz val="12"/>
      <name val="Calibri"/>
      <family val="2"/>
    </font>
    <font>
      <vertAlign val="superscript"/>
      <sz val="12"/>
      <name val="Calibri"/>
      <family val="2"/>
      <charset val="16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1" fillId="3" borderId="0" applyNumberFormat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3" fillId="0" borderId="5" xfId="0" applyFont="1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14" xfId="0" applyBorder="1"/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0" fillId="0" borderId="18" xfId="0" applyBorder="1"/>
    <xf numFmtId="0" fontId="0" fillId="0" borderId="13" xfId="0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3" fillId="0" borderId="12" xfId="0" applyFont="1" applyBorder="1"/>
    <xf numFmtId="0" fontId="3" fillId="0" borderId="9" xfId="0" applyFont="1" applyBorder="1"/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0" fillId="0" borderId="17" xfId="0" applyBorder="1"/>
    <xf numFmtId="0" fontId="0" fillId="0" borderId="19" xfId="0" applyBorder="1"/>
    <xf numFmtId="0" fontId="0" fillId="0" borderId="10" xfId="0" applyBorder="1"/>
    <xf numFmtId="2" fontId="5" fillId="0" borderId="0" xfId="0" applyNumberFormat="1" applyFont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10" fillId="0" borderId="9" xfId="0" applyFont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top"/>
    </xf>
    <xf numFmtId="2" fontId="9" fillId="0" borderId="0" xfId="0" applyNumberFormat="1" applyFont="1"/>
    <xf numFmtId="0" fontId="11" fillId="0" borderId="0" xfId="0" applyFont="1"/>
    <xf numFmtId="0" fontId="9" fillId="0" borderId="0" xfId="0" applyFont="1" applyAlignment="1">
      <alignment horizontal="center"/>
    </xf>
    <xf numFmtId="0" fontId="8" fillId="3" borderId="0" xfId="3" applyFont="1"/>
    <xf numFmtId="0" fontId="0" fillId="2" borderId="0" xfId="0" applyFill="1" applyAlignment="1">
      <alignment horizontal="center"/>
    </xf>
    <xf numFmtId="0" fontId="9" fillId="0" borderId="14" xfId="0" applyFont="1" applyBorder="1" applyAlignment="1">
      <alignment horizontal="center"/>
    </xf>
    <xf numFmtId="2" fontId="12" fillId="4" borderId="9" xfId="0" applyNumberFormat="1" applyFont="1" applyFill="1" applyBorder="1"/>
    <xf numFmtId="2" fontId="10" fillId="0" borderId="9" xfId="0" applyNumberFormat="1" applyFont="1" applyBorder="1" applyAlignment="1">
      <alignment horizontal="center" vertical="top"/>
    </xf>
    <xf numFmtId="2" fontId="13" fillId="4" borderId="11" xfId="0" applyNumberFormat="1" applyFont="1" applyFill="1" applyBorder="1" applyAlignment="1">
      <alignment horizontal="center"/>
    </xf>
    <xf numFmtId="2" fontId="9" fillId="3" borderId="0" xfId="3" applyNumberFormat="1" applyFont="1"/>
    <xf numFmtId="2" fontId="12" fillId="4" borderId="12" xfId="0" applyNumberFormat="1" applyFont="1" applyFill="1" applyBorder="1" applyAlignment="1">
      <alignment horizontal="center"/>
    </xf>
    <xf numFmtId="2" fontId="10" fillId="0" borderId="9" xfId="0" applyNumberFormat="1" applyFont="1" applyBorder="1"/>
    <xf numFmtId="2" fontId="9" fillId="0" borderId="9" xfId="0" applyNumberFormat="1" applyFont="1" applyBorder="1"/>
    <xf numFmtId="0" fontId="1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5" fillId="0" borderId="0" xfId="0" applyFont="1" applyAlignment="1">
      <alignment textRotation="90"/>
    </xf>
    <xf numFmtId="0" fontId="15" fillId="3" borderId="0" xfId="3" applyFont="1"/>
    <xf numFmtId="2" fontId="15" fillId="3" borderId="0" xfId="3" applyNumberFormat="1" applyFont="1"/>
    <xf numFmtId="0" fontId="15" fillId="0" borderId="0" xfId="0" applyFont="1"/>
    <xf numFmtId="2" fontId="15" fillId="0" borderId="0" xfId="0" applyNumberFormat="1" applyFont="1"/>
    <xf numFmtId="0" fontId="15" fillId="0" borderId="0" xfId="0" applyFont="1" applyAlignment="1">
      <alignment textRotation="45"/>
    </xf>
    <xf numFmtId="0" fontId="18" fillId="2" borderId="0" xfId="0" applyFont="1" applyFill="1" applyAlignment="1">
      <alignment horizontal="center"/>
    </xf>
    <xf numFmtId="0" fontId="15" fillId="0" borderId="14" xfId="0" applyFont="1" applyBorder="1" applyAlignment="1">
      <alignment horizontal="center"/>
    </xf>
    <xf numFmtId="2" fontId="19" fillId="4" borderId="9" xfId="0" applyNumberFormat="1" applyFont="1" applyFill="1" applyBorder="1"/>
    <xf numFmtId="2" fontId="16" fillId="0" borderId="9" xfId="0" applyNumberFormat="1" applyFont="1" applyBorder="1" applyAlignment="1">
      <alignment horizontal="center" vertical="top"/>
    </xf>
    <xf numFmtId="2" fontId="16" fillId="0" borderId="9" xfId="0" applyNumberFormat="1" applyFont="1" applyBorder="1"/>
    <xf numFmtId="2" fontId="15" fillId="0" borderId="9" xfId="0" applyNumberFormat="1" applyFont="1" applyBorder="1"/>
    <xf numFmtId="2" fontId="20" fillId="3" borderId="22" xfId="3" applyNumberFormat="1" applyFont="1" applyBorder="1"/>
    <xf numFmtId="2" fontId="19" fillId="4" borderId="22" xfId="0" applyNumberFormat="1" applyFont="1" applyFill="1" applyBorder="1"/>
    <xf numFmtId="2" fontId="17" fillId="0" borderId="0" xfId="0" applyNumberFormat="1" applyFont="1"/>
    <xf numFmtId="0" fontId="17" fillId="3" borderId="9" xfId="3" applyFont="1" applyBorder="1"/>
    <xf numFmtId="2" fontId="17" fillId="3" borderId="9" xfId="3" applyNumberFormat="1" applyFont="1" applyBorder="1"/>
    <xf numFmtId="0" fontId="21" fillId="0" borderId="0" xfId="0" applyFont="1"/>
    <xf numFmtId="2" fontId="22" fillId="4" borderId="9" xfId="0" applyNumberFormat="1" applyFont="1" applyFill="1" applyBorder="1" applyAlignment="1">
      <alignment horizontal="center" vertical="top"/>
    </xf>
    <xf numFmtId="0" fontId="15" fillId="0" borderId="9" xfId="0" applyFont="1" applyBorder="1"/>
    <xf numFmtId="0" fontId="24" fillId="4" borderId="9" xfId="0" applyFont="1" applyFill="1" applyBorder="1"/>
    <xf numFmtId="2" fontId="17" fillId="0" borderId="9" xfId="0" applyNumberFormat="1" applyFont="1" applyBorder="1"/>
    <xf numFmtId="0" fontId="17" fillId="0" borderId="9" xfId="0" applyFont="1" applyBorder="1"/>
    <xf numFmtId="2" fontId="15" fillId="3" borderId="9" xfId="3" applyNumberFormat="1" applyFont="1" applyBorder="1"/>
    <xf numFmtId="0" fontId="7" fillId="5" borderId="0" xfId="0" applyFont="1" applyFill="1" applyAlignment="1">
      <alignment horizontal="center"/>
    </xf>
    <xf numFmtId="0" fontId="26" fillId="0" borderId="0" xfId="0" applyFont="1"/>
    <xf numFmtId="0" fontId="7" fillId="2" borderId="0" xfId="0" applyFont="1" applyFill="1" applyAlignment="1">
      <alignment horizontal="center"/>
    </xf>
  </cellXfs>
  <cellStyles count="4">
    <cellStyle name="%40 - Vurgu5" xfId="3" builtinId="47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"/>
  <sheetViews>
    <sheetView topLeftCell="A10" workbookViewId="0">
      <selection activeCell="C27" sqref="C27"/>
    </sheetView>
  </sheetViews>
  <sheetFormatPr defaultRowHeight="14.4" x14ac:dyDescent="0.3"/>
  <cols>
    <col min="1" max="1" width="34.88671875" customWidth="1"/>
    <col min="7" max="7" width="14.109375" customWidth="1"/>
    <col min="8" max="8" width="14.44140625" customWidth="1"/>
    <col min="10" max="10" width="36" customWidth="1"/>
    <col min="11" max="11" width="32" customWidth="1"/>
    <col min="19" max="19" width="17.44140625" customWidth="1"/>
  </cols>
  <sheetData>
    <row r="1" spans="1:29" ht="51.6" thickTop="1" thickBot="1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J1" s="1" t="s">
        <v>0</v>
      </c>
      <c r="K1" s="2">
        <v>9</v>
      </c>
      <c r="L1" s="3">
        <v>7</v>
      </c>
      <c r="M1" s="2">
        <v>5</v>
      </c>
      <c r="N1" s="3">
        <v>3</v>
      </c>
      <c r="O1" s="2">
        <v>1</v>
      </c>
      <c r="P1" s="3">
        <v>3</v>
      </c>
      <c r="Q1" s="2">
        <v>5</v>
      </c>
      <c r="R1" s="3">
        <v>7</v>
      </c>
      <c r="S1" s="4">
        <v>9</v>
      </c>
      <c r="T1" s="5"/>
      <c r="X1" s="16"/>
      <c r="Y1" s="18" t="s">
        <v>17</v>
      </c>
      <c r="Z1" s="19" t="s">
        <v>18</v>
      </c>
      <c r="AA1" s="19" t="s">
        <v>19</v>
      </c>
      <c r="AB1" s="19" t="s">
        <v>20</v>
      </c>
      <c r="AC1" s="19" t="s">
        <v>21</v>
      </c>
    </row>
    <row r="2" spans="1:29" ht="15.6" thickTop="1" thickBot="1" x14ac:dyDescent="0.35">
      <c r="A2">
        <v>2</v>
      </c>
      <c r="B2">
        <v>1</v>
      </c>
      <c r="C2">
        <v>5</v>
      </c>
      <c r="D2">
        <v>3</v>
      </c>
      <c r="E2">
        <v>3</v>
      </c>
      <c r="F2">
        <v>2</v>
      </c>
      <c r="G2">
        <v>1</v>
      </c>
      <c r="H2">
        <v>2</v>
      </c>
      <c r="J2" s="6" t="s">
        <v>1</v>
      </c>
      <c r="L2" s="7"/>
      <c r="N2" s="7"/>
      <c r="O2" s="8"/>
      <c r="P2" s="7" t="s">
        <v>2</v>
      </c>
      <c r="R2" s="7"/>
      <c r="S2" s="9"/>
      <c r="T2" s="10" t="s">
        <v>3</v>
      </c>
      <c r="X2" s="24" t="s">
        <v>22</v>
      </c>
      <c r="Y2" s="30">
        <v>50</v>
      </c>
      <c r="Z2" s="22">
        <v>45</v>
      </c>
      <c r="AA2" s="20">
        <v>55</v>
      </c>
      <c r="AB2" s="22">
        <v>85</v>
      </c>
      <c r="AC2" s="21">
        <v>65</v>
      </c>
    </row>
    <row r="3" spans="1:29" ht="15.6" thickTop="1" thickBot="1" x14ac:dyDescent="0.35">
      <c r="J3" s="1" t="s">
        <v>1</v>
      </c>
      <c r="K3" s="11"/>
      <c r="L3" s="1"/>
      <c r="M3" s="11"/>
      <c r="N3" s="1"/>
      <c r="O3" s="2"/>
      <c r="P3" s="1" t="s">
        <v>2</v>
      </c>
      <c r="Q3" s="11"/>
      <c r="R3" s="1"/>
      <c r="S3" s="12"/>
      <c r="T3" s="12" t="s">
        <v>4</v>
      </c>
      <c r="X3" s="26" t="s">
        <v>23</v>
      </c>
      <c r="Y3" s="32">
        <v>65</v>
      </c>
      <c r="Z3" s="27">
        <v>35</v>
      </c>
      <c r="AA3" s="28">
        <v>50</v>
      </c>
      <c r="AB3" s="27">
        <v>45</v>
      </c>
      <c r="AC3" s="29">
        <v>20</v>
      </c>
    </row>
    <row r="4" spans="1:29" ht="15.6" thickTop="1" thickBot="1" x14ac:dyDescent="0.35">
      <c r="J4" s="7" t="s">
        <v>1</v>
      </c>
      <c r="L4" s="7"/>
      <c r="N4" s="7"/>
      <c r="O4" s="8"/>
      <c r="P4" s="7" t="s">
        <v>2</v>
      </c>
      <c r="R4" s="7"/>
      <c r="S4" s="9"/>
      <c r="T4" s="9" t="s">
        <v>5</v>
      </c>
      <c r="X4" s="26" t="s">
        <v>24</v>
      </c>
      <c r="Y4" s="32">
        <v>85</v>
      </c>
      <c r="Z4" s="27">
        <v>40</v>
      </c>
      <c r="AA4" s="28">
        <v>25</v>
      </c>
      <c r="AB4" s="27">
        <v>60</v>
      </c>
      <c r="AC4" s="29">
        <v>55</v>
      </c>
    </row>
    <row r="5" spans="1:29" ht="15.6" thickTop="1" thickBot="1" x14ac:dyDescent="0.35">
      <c r="J5" s="1" t="s">
        <v>1</v>
      </c>
      <c r="K5" s="11"/>
      <c r="L5" s="1"/>
      <c r="M5" s="11"/>
      <c r="N5" s="1"/>
      <c r="O5" s="2"/>
      <c r="P5" s="1" t="s">
        <v>2</v>
      </c>
      <c r="Q5" s="11"/>
      <c r="R5" s="1"/>
      <c r="S5" s="12"/>
      <c r="T5" s="12" t="s">
        <v>6</v>
      </c>
      <c r="X5" s="25" t="s">
        <v>25</v>
      </c>
      <c r="Y5" s="31">
        <v>45</v>
      </c>
      <c r="Z5" s="23">
        <v>25</v>
      </c>
      <c r="AA5" s="17">
        <v>85</v>
      </c>
      <c r="AB5" s="23">
        <v>40</v>
      </c>
      <c r="AC5" s="27">
        <v>30</v>
      </c>
    </row>
    <row r="6" spans="1:29" ht="15.6" thickTop="1" thickBot="1" x14ac:dyDescent="0.35">
      <c r="J6" s="7" t="s">
        <v>3</v>
      </c>
      <c r="L6" s="7"/>
      <c r="N6" s="7"/>
      <c r="P6" s="7" t="s">
        <v>2</v>
      </c>
      <c r="Q6" s="8"/>
      <c r="R6" s="7"/>
      <c r="S6" s="9"/>
      <c r="T6" s="13" t="s">
        <v>4</v>
      </c>
    </row>
    <row r="7" spans="1:29" ht="15.6" thickTop="1" thickBot="1" x14ac:dyDescent="0.35">
      <c r="J7" s="1" t="s">
        <v>3</v>
      </c>
      <c r="K7" s="11"/>
      <c r="L7" s="1"/>
      <c r="M7" s="11"/>
      <c r="N7" s="1"/>
      <c r="O7" s="11"/>
      <c r="P7" s="1" t="s">
        <v>2</v>
      </c>
      <c r="Q7" s="2"/>
      <c r="R7" s="1"/>
      <c r="S7" s="12"/>
      <c r="T7" s="12" t="s">
        <v>5</v>
      </c>
    </row>
    <row r="8" spans="1:29" ht="15.6" thickTop="1" thickBot="1" x14ac:dyDescent="0.35">
      <c r="J8" s="7" t="s">
        <v>3</v>
      </c>
      <c r="L8" s="7"/>
      <c r="N8" s="7"/>
      <c r="O8" s="8"/>
      <c r="P8" s="14" t="s">
        <v>2</v>
      </c>
      <c r="R8" s="7"/>
      <c r="S8" s="9"/>
      <c r="T8" s="9" t="s">
        <v>6</v>
      </c>
    </row>
    <row r="9" spans="1:29" ht="15.6" thickTop="1" thickBot="1" x14ac:dyDescent="0.35">
      <c r="J9" s="1" t="s">
        <v>4</v>
      </c>
      <c r="K9" s="11"/>
      <c r="L9" s="1"/>
      <c r="M9" s="11"/>
      <c r="N9" s="1"/>
      <c r="O9" s="11" t="s">
        <v>2</v>
      </c>
      <c r="P9" s="3"/>
      <c r="Q9" s="11"/>
      <c r="R9" s="1"/>
      <c r="S9" s="12"/>
      <c r="T9" s="12" t="s">
        <v>5</v>
      </c>
    </row>
    <row r="10" spans="1:29" ht="15.6" thickTop="1" thickBot="1" x14ac:dyDescent="0.35">
      <c r="A10" s="34" t="s">
        <v>42</v>
      </c>
      <c r="B10" s="34"/>
      <c r="C10" s="34"/>
      <c r="D10" s="34"/>
      <c r="E10" s="34"/>
      <c r="F10" s="34"/>
      <c r="G10" s="34"/>
      <c r="H10" s="34"/>
      <c r="J10" s="7" t="s">
        <v>4</v>
      </c>
      <c r="L10" s="7"/>
      <c r="N10" s="7"/>
      <c r="P10" s="14" t="s">
        <v>2</v>
      </c>
      <c r="R10" s="7"/>
      <c r="S10" s="9"/>
      <c r="T10" s="9" t="s">
        <v>6</v>
      </c>
    </row>
    <row r="11" spans="1:29" ht="15.6" thickTop="1" thickBot="1" x14ac:dyDescent="0.35">
      <c r="A11" s="34"/>
      <c r="B11" s="34"/>
      <c r="C11" s="34"/>
      <c r="D11" s="34"/>
      <c r="E11" s="34"/>
      <c r="F11" s="34"/>
      <c r="G11" s="34"/>
      <c r="H11" s="34"/>
      <c r="J11" s="1" t="s">
        <v>5</v>
      </c>
      <c r="K11" s="11"/>
      <c r="L11" s="1"/>
      <c r="M11" s="11"/>
      <c r="N11" s="1"/>
      <c r="O11" s="11"/>
      <c r="P11" s="1"/>
      <c r="Q11" s="11" t="s">
        <v>2</v>
      </c>
      <c r="R11" s="1"/>
      <c r="S11" s="12"/>
      <c r="T11" s="12" t="s">
        <v>6</v>
      </c>
    </row>
    <row r="12" spans="1:29" ht="15" thickTop="1" x14ac:dyDescent="0.3"/>
    <row r="13" spans="1:29" x14ac:dyDescent="0.3">
      <c r="B13" s="36" t="s">
        <v>35</v>
      </c>
      <c r="C13" s="36"/>
      <c r="D13" s="36"/>
      <c r="E13" s="36"/>
      <c r="F13" s="36"/>
      <c r="H13" s="36" t="s">
        <v>36</v>
      </c>
      <c r="I13" s="36"/>
      <c r="J13" s="36"/>
      <c r="K13" s="36"/>
      <c r="L13" s="36"/>
      <c r="M13" s="36"/>
      <c r="N13" s="36"/>
      <c r="O13" s="36"/>
      <c r="P13" s="36"/>
    </row>
    <row r="14" spans="1:29" ht="25.2" x14ac:dyDescent="0.45">
      <c r="A14" s="33" t="s">
        <v>26</v>
      </c>
      <c r="B14" s="33" t="s">
        <v>27</v>
      </c>
      <c r="C14" s="33" t="s">
        <v>28</v>
      </c>
      <c r="D14" s="33" t="s">
        <v>29</v>
      </c>
      <c r="E14" s="33" t="s">
        <v>30</v>
      </c>
      <c r="F14" s="33" t="s">
        <v>31</v>
      </c>
      <c r="G14" s="33"/>
      <c r="H14" s="33"/>
      <c r="I14" s="33" t="s">
        <v>27</v>
      </c>
      <c r="J14" s="33" t="s">
        <v>28</v>
      </c>
      <c r="K14" s="33" t="s">
        <v>29</v>
      </c>
      <c r="L14" s="33" t="s">
        <v>30</v>
      </c>
      <c r="M14" s="33" t="s">
        <v>31</v>
      </c>
      <c r="N14" s="33"/>
      <c r="O14" s="33" t="s">
        <v>32</v>
      </c>
      <c r="P14" s="33" t="s">
        <v>33</v>
      </c>
      <c r="Q14" s="33"/>
      <c r="R14" s="33"/>
      <c r="S14" s="33" t="s">
        <v>34</v>
      </c>
      <c r="T14" s="33" t="s">
        <v>7</v>
      </c>
      <c r="U14" s="33" t="s">
        <v>8</v>
      </c>
    </row>
    <row r="15" spans="1:29" ht="25.2" x14ac:dyDescent="0.45">
      <c r="A15" s="33" t="s">
        <v>27</v>
      </c>
      <c r="B15" s="33">
        <v>1</v>
      </c>
      <c r="C15" s="33">
        <v>3</v>
      </c>
      <c r="D15" s="33">
        <v>5</v>
      </c>
      <c r="E15" s="33">
        <v>7</v>
      </c>
      <c r="F15" s="33">
        <v>1</v>
      </c>
      <c r="G15" s="33"/>
      <c r="H15" s="33" t="s">
        <v>27</v>
      </c>
      <c r="I15" s="33">
        <v>0.37366548042704628</v>
      </c>
      <c r="J15" s="33">
        <v>0.56149732620320847</v>
      </c>
      <c r="K15" s="33">
        <v>0.43352601156069365</v>
      </c>
      <c r="L15" s="33">
        <v>0.34806629834254144</v>
      </c>
      <c r="M15" s="33">
        <v>6.6666666666666666E-2</v>
      </c>
      <c r="N15" s="33"/>
      <c r="O15" s="33">
        <v>0.35668435664003134</v>
      </c>
      <c r="P15" s="33">
        <v>2.8786044130931581</v>
      </c>
      <c r="Q15" s="33"/>
      <c r="R15" s="33"/>
      <c r="S15" s="33">
        <v>8.7613398464231711</v>
      </c>
      <c r="T15" s="33">
        <v>0.94033496160579277</v>
      </c>
      <c r="U15" s="33">
        <v>0.84714861405927266</v>
      </c>
    </row>
    <row r="16" spans="1:29" ht="25.2" x14ac:dyDescent="0.45">
      <c r="A16" s="33" t="s">
        <v>28</v>
      </c>
      <c r="B16" s="33">
        <v>0.33333333333333331</v>
      </c>
      <c r="C16" s="33">
        <v>1</v>
      </c>
      <c r="D16" s="33">
        <v>5</v>
      </c>
      <c r="E16" s="33">
        <v>7</v>
      </c>
      <c r="F16" s="33">
        <v>1</v>
      </c>
      <c r="G16" s="33"/>
      <c r="H16" s="33" t="s">
        <v>28</v>
      </c>
      <c r="I16" s="33">
        <v>0.12455516014234876</v>
      </c>
      <c r="J16" s="33">
        <v>0.18716577540106949</v>
      </c>
      <c r="K16" s="33">
        <v>0.43352601156069365</v>
      </c>
      <c r="L16" s="33">
        <v>0.34806629834254144</v>
      </c>
      <c r="M16" s="33">
        <v>6.6666666666666666E-2</v>
      </c>
      <c r="N16" s="33"/>
      <c r="O16" s="33">
        <v>0.231995982422664</v>
      </c>
      <c r="P16" s="33">
        <v>2.1768228771544762</v>
      </c>
      <c r="Q16" s="33"/>
      <c r="R16" s="33"/>
      <c r="S16" s="33"/>
      <c r="T16" s="33"/>
      <c r="U16" s="33"/>
    </row>
    <row r="17" spans="1:21" ht="25.2" x14ac:dyDescent="0.45">
      <c r="A17" s="33" t="s">
        <v>29</v>
      </c>
      <c r="B17" s="33">
        <v>0.2</v>
      </c>
      <c r="C17" s="33">
        <v>0.2</v>
      </c>
      <c r="D17" s="33">
        <v>1</v>
      </c>
      <c r="E17" s="33">
        <v>5</v>
      </c>
      <c r="F17" s="33">
        <v>3</v>
      </c>
      <c r="G17" s="33"/>
      <c r="H17" s="33" t="s">
        <v>29</v>
      </c>
      <c r="I17" s="33">
        <v>7.4733096085409262E-2</v>
      </c>
      <c r="J17" s="33">
        <v>3.7433155080213901E-2</v>
      </c>
      <c r="K17" s="33">
        <v>8.6705202312138727E-2</v>
      </c>
      <c r="L17" s="33">
        <v>0.24861878453038674</v>
      </c>
      <c r="M17" s="33">
        <v>0.2</v>
      </c>
      <c r="N17" s="33"/>
      <c r="O17" s="33">
        <v>0.12949804760162972</v>
      </c>
      <c r="P17" s="33">
        <v>1.3915723747016309</v>
      </c>
      <c r="Q17" s="33"/>
      <c r="R17" s="33"/>
      <c r="S17" s="33"/>
      <c r="T17" s="33"/>
      <c r="U17" s="33"/>
    </row>
    <row r="18" spans="1:21" ht="25.2" x14ac:dyDescent="0.45">
      <c r="A18" s="33" t="s">
        <v>30</v>
      </c>
      <c r="B18" s="33">
        <v>0.14285714285714279</v>
      </c>
      <c r="C18" s="33">
        <v>0.14285714285714279</v>
      </c>
      <c r="D18" s="33">
        <v>0.2</v>
      </c>
      <c r="E18" s="33">
        <v>1</v>
      </c>
      <c r="F18" s="33">
        <v>9</v>
      </c>
      <c r="G18" s="33"/>
      <c r="H18" s="33" t="s">
        <v>30</v>
      </c>
      <c r="I18" s="33">
        <v>5.3380782918149447E-2</v>
      </c>
      <c r="J18" s="33">
        <v>2.6737967914438488E-2</v>
      </c>
      <c r="K18" s="33">
        <v>1.7341040462427747E-2</v>
      </c>
      <c r="L18" s="33">
        <v>4.9723756906077346E-2</v>
      </c>
      <c r="M18" s="33">
        <v>0.6</v>
      </c>
      <c r="N18" s="33"/>
      <c r="O18" s="33">
        <v>0.1494367096402186</v>
      </c>
      <c r="P18" s="33">
        <v>1.4508976437143224</v>
      </c>
      <c r="Q18" s="33"/>
      <c r="R18" s="33"/>
      <c r="S18" s="33"/>
      <c r="T18" s="33"/>
      <c r="U18" s="33"/>
    </row>
    <row r="19" spans="1:21" ht="25.2" x14ac:dyDescent="0.45">
      <c r="A19" s="33" t="s">
        <v>31</v>
      </c>
      <c r="B19" s="33">
        <v>1</v>
      </c>
      <c r="C19" s="33">
        <v>1</v>
      </c>
      <c r="D19" s="33">
        <v>0.33333333333333331</v>
      </c>
      <c r="E19" s="33">
        <v>0.1111111111111111</v>
      </c>
      <c r="F19" s="33">
        <v>1</v>
      </c>
      <c r="G19" s="33"/>
      <c r="H19" s="33" t="s">
        <v>31</v>
      </c>
      <c r="I19" s="33">
        <v>0.37366548042704628</v>
      </c>
      <c r="J19" s="33">
        <v>0.18716577540106949</v>
      </c>
      <c r="K19" s="33">
        <v>2.8901734104046242E-2</v>
      </c>
      <c r="L19" s="33">
        <v>5.5248618784530384E-3</v>
      </c>
      <c r="M19" s="33">
        <v>6.6666666666666666E-2</v>
      </c>
      <c r="N19" s="33"/>
      <c r="O19" s="33">
        <v>0.13238490369545636</v>
      </c>
      <c r="P19" s="33">
        <v>0.78083533747427469</v>
      </c>
      <c r="Q19" s="33"/>
      <c r="R19" s="33"/>
      <c r="S19" s="33"/>
      <c r="T19" s="33"/>
      <c r="U19" s="33"/>
    </row>
    <row r="22" spans="1:21" x14ac:dyDescent="0.3">
      <c r="A22" s="36" t="s">
        <v>37</v>
      </c>
      <c r="B22" s="36"/>
      <c r="C22" s="36"/>
      <c r="D22" s="36"/>
      <c r="E22" s="36"/>
      <c r="F22" s="36"/>
      <c r="G22" s="36"/>
    </row>
    <row r="23" spans="1:21" x14ac:dyDescent="0.3">
      <c r="A23" s="36" t="s">
        <v>38</v>
      </c>
      <c r="B23" s="36"/>
      <c r="C23" s="36"/>
      <c r="D23" s="36"/>
      <c r="E23" s="36"/>
      <c r="F23" s="36"/>
    </row>
    <row r="24" spans="1:21" x14ac:dyDescent="0.3">
      <c r="A24" s="36" t="s">
        <v>39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21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1:21" x14ac:dyDescent="0.3">
      <c r="A26" s="35" t="s">
        <v>43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</row>
  </sheetData>
  <mergeCells count="7">
    <mergeCell ref="A10:H11"/>
    <mergeCell ref="A26:K26"/>
    <mergeCell ref="H13:P13"/>
    <mergeCell ref="B13:F13"/>
    <mergeCell ref="A22:G22"/>
    <mergeCell ref="A23:F23"/>
    <mergeCell ref="A24:K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89"/>
  <sheetViews>
    <sheetView topLeftCell="B14" workbookViewId="0">
      <selection activeCell="C30" sqref="A1:XFD1048576"/>
    </sheetView>
  </sheetViews>
  <sheetFormatPr defaultRowHeight="14.4" x14ac:dyDescent="0.3"/>
  <cols>
    <col min="1" max="1" width="34.6640625" customWidth="1"/>
    <col min="2" max="2" width="33.77734375" customWidth="1"/>
    <col min="3" max="3" width="11.88671875" customWidth="1"/>
    <col min="4" max="4" width="24.44140625" customWidth="1"/>
    <col min="5" max="5" width="31.5546875" customWidth="1"/>
    <col min="6" max="6" width="22.5546875" customWidth="1"/>
  </cols>
  <sheetData>
    <row r="1" spans="1:67" ht="51.6" thickTop="1" thickBot="1" x14ac:dyDescent="0.35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/>
      <c r="J1" s="1" t="s">
        <v>0</v>
      </c>
      <c r="K1" s="2">
        <v>9</v>
      </c>
      <c r="L1" s="3">
        <v>7</v>
      </c>
      <c r="M1" s="2">
        <v>5</v>
      </c>
      <c r="N1" s="3">
        <v>3</v>
      </c>
      <c r="O1" s="2">
        <v>1</v>
      </c>
      <c r="P1" s="3">
        <v>3</v>
      </c>
      <c r="Q1" s="2">
        <v>5</v>
      </c>
      <c r="R1" s="3">
        <v>7</v>
      </c>
      <c r="S1" s="4">
        <v>9</v>
      </c>
      <c r="T1" s="5"/>
      <c r="U1" s="16"/>
      <c r="V1" s="16"/>
      <c r="W1" s="16"/>
      <c r="X1" s="16"/>
      <c r="Y1" s="18" t="s">
        <v>17</v>
      </c>
      <c r="Z1" s="19" t="s">
        <v>18</v>
      </c>
      <c r="AA1" s="19" t="s">
        <v>19</v>
      </c>
      <c r="AB1" s="19" t="s">
        <v>20</v>
      </c>
      <c r="AC1" s="19" t="s">
        <v>21</v>
      </c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</row>
    <row r="2" spans="1:67" ht="15.6" thickTop="1" thickBot="1" x14ac:dyDescent="0.35">
      <c r="A2" s="16">
        <v>2</v>
      </c>
      <c r="B2" s="16">
        <v>1</v>
      </c>
      <c r="C2" s="16">
        <v>5</v>
      </c>
      <c r="D2" s="16">
        <v>3</v>
      </c>
      <c r="E2" s="16">
        <v>3</v>
      </c>
      <c r="F2" s="16">
        <v>2</v>
      </c>
      <c r="G2" s="16">
        <v>1</v>
      </c>
      <c r="H2" s="16">
        <v>2</v>
      </c>
      <c r="I2" s="16"/>
      <c r="J2" s="6" t="s">
        <v>1</v>
      </c>
      <c r="K2" s="16"/>
      <c r="L2" s="7"/>
      <c r="M2" s="16"/>
      <c r="N2" s="7"/>
      <c r="O2" s="15"/>
      <c r="P2" s="7" t="s">
        <v>2</v>
      </c>
      <c r="Q2" s="16"/>
      <c r="R2" s="7"/>
      <c r="S2" s="9"/>
      <c r="T2" s="10" t="s">
        <v>3</v>
      </c>
      <c r="U2" s="16"/>
      <c r="V2" s="16"/>
      <c r="W2" s="16"/>
      <c r="X2" s="24" t="s">
        <v>22</v>
      </c>
      <c r="Y2" s="30">
        <v>50</v>
      </c>
      <c r="Z2" s="22">
        <v>45</v>
      </c>
      <c r="AA2" s="20">
        <v>55</v>
      </c>
      <c r="AB2" s="22">
        <v>85</v>
      </c>
      <c r="AC2" s="21">
        <v>65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</row>
    <row r="3" spans="1:67" ht="15.6" thickTop="1" thickBot="1" x14ac:dyDescent="0.35">
      <c r="A3" s="16"/>
      <c r="B3" s="16"/>
      <c r="C3" s="16"/>
      <c r="D3" s="16"/>
      <c r="E3" s="16"/>
      <c r="F3" s="16"/>
      <c r="G3" s="16"/>
      <c r="H3" s="16"/>
      <c r="I3" s="16"/>
      <c r="J3" s="1" t="s">
        <v>1</v>
      </c>
      <c r="K3" s="11"/>
      <c r="L3" s="1"/>
      <c r="M3" s="11"/>
      <c r="N3" s="1"/>
      <c r="O3" s="2"/>
      <c r="P3" s="1" t="s">
        <v>2</v>
      </c>
      <c r="Q3" s="11"/>
      <c r="R3" s="1"/>
      <c r="S3" s="12"/>
      <c r="T3" s="12" t="s">
        <v>4</v>
      </c>
      <c r="U3" s="16"/>
      <c r="V3" s="16"/>
      <c r="W3" s="16"/>
      <c r="X3" s="26" t="s">
        <v>23</v>
      </c>
      <c r="Y3" s="32">
        <v>65</v>
      </c>
      <c r="Z3" s="27">
        <v>35</v>
      </c>
      <c r="AA3" s="28">
        <v>50</v>
      </c>
      <c r="AB3" s="27">
        <v>45</v>
      </c>
      <c r="AC3" s="29">
        <v>20</v>
      </c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</row>
    <row r="4" spans="1:67" ht="15.6" thickTop="1" thickBot="1" x14ac:dyDescent="0.35">
      <c r="A4" s="16"/>
      <c r="B4" s="16"/>
      <c r="C4" s="16"/>
      <c r="D4" s="16"/>
      <c r="E4" s="16"/>
      <c r="F4" s="16"/>
      <c r="G4" s="16"/>
      <c r="H4" s="16"/>
      <c r="I4" s="16"/>
      <c r="J4" s="7" t="s">
        <v>1</v>
      </c>
      <c r="K4" s="16"/>
      <c r="L4" s="7"/>
      <c r="M4" s="16"/>
      <c r="N4" s="7"/>
      <c r="O4" s="15"/>
      <c r="P4" s="7" t="s">
        <v>2</v>
      </c>
      <c r="Q4" s="16"/>
      <c r="R4" s="7"/>
      <c r="S4" s="9"/>
      <c r="T4" s="9" t="s">
        <v>5</v>
      </c>
      <c r="U4" s="16"/>
      <c r="V4" s="16"/>
      <c r="W4" s="16"/>
      <c r="X4" s="26" t="s">
        <v>24</v>
      </c>
      <c r="Y4" s="32">
        <v>85</v>
      </c>
      <c r="Z4" s="27">
        <v>40</v>
      </c>
      <c r="AA4" s="28">
        <v>25</v>
      </c>
      <c r="AB4" s="27">
        <v>60</v>
      </c>
      <c r="AC4" s="29">
        <v>55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</row>
    <row r="5" spans="1:67" ht="15.6" thickTop="1" thickBot="1" x14ac:dyDescent="0.35">
      <c r="A5" s="16"/>
      <c r="B5" s="16"/>
      <c r="C5" s="16"/>
      <c r="D5" s="16"/>
      <c r="E5" s="16"/>
      <c r="F5" s="16"/>
      <c r="G5" s="16"/>
      <c r="H5" s="16"/>
      <c r="I5" s="16"/>
      <c r="J5" s="1" t="s">
        <v>1</v>
      </c>
      <c r="K5" s="11"/>
      <c r="L5" s="1"/>
      <c r="M5" s="11"/>
      <c r="N5" s="1"/>
      <c r="O5" s="2"/>
      <c r="P5" s="1" t="s">
        <v>2</v>
      </c>
      <c r="Q5" s="11"/>
      <c r="R5" s="1"/>
      <c r="S5" s="12"/>
      <c r="T5" s="12" t="s">
        <v>6</v>
      </c>
      <c r="U5" s="16"/>
      <c r="V5" s="16"/>
      <c r="W5" s="16"/>
      <c r="X5" s="25" t="s">
        <v>25</v>
      </c>
      <c r="Y5" s="31">
        <v>45</v>
      </c>
      <c r="Z5" s="23">
        <v>25</v>
      </c>
      <c r="AA5" s="17">
        <v>85</v>
      </c>
      <c r="AB5" s="23">
        <v>40</v>
      </c>
      <c r="AC5" s="27">
        <v>30</v>
      </c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</row>
    <row r="6" spans="1:67" ht="15.6" thickTop="1" thickBot="1" x14ac:dyDescent="0.35">
      <c r="A6" s="16"/>
      <c r="B6" s="16"/>
      <c r="C6" s="16"/>
      <c r="D6" s="16"/>
      <c r="E6" s="16"/>
      <c r="F6" s="16"/>
      <c r="G6" s="16"/>
      <c r="H6" s="16"/>
      <c r="I6" s="16"/>
      <c r="J6" s="7" t="s">
        <v>3</v>
      </c>
      <c r="K6" s="16"/>
      <c r="L6" s="7"/>
      <c r="M6" s="16"/>
      <c r="N6" s="7"/>
      <c r="O6" s="16"/>
      <c r="P6" s="7" t="s">
        <v>2</v>
      </c>
      <c r="Q6" s="15"/>
      <c r="R6" s="7"/>
      <c r="S6" s="9"/>
      <c r="T6" s="13" t="s">
        <v>4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</row>
    <row r="7" spans="1:67" ht="15.6" thickTop="1" thickBot="1" x14ac:dyDescent="0.35">
      <c r="A7" s="16"/>
      <c r="B7" s="16"/>
      <c r="C7" s="16"/>
      <c r="D7" s="16"/>
      <c r="E7" s="16"/>
      <c r="F7" s="16"/>
      <c r="G7" s="16"/>
      <c r="H7" s="16"/>
      <c r="I7" s="16"/>
      <c r="J7" s="1" t="s">
        <v>3</v>
      </c>
      <c r="K7" s="11"/>
      <c r="L7" s="1"/>
      <c r="M7" s="11"/>
      <c r="N7" s="1"/>
      <c r="O7" s="11"/>
      <c r="P7" s="1" t="s">
        <v>2</v>
      </c>
      <c r="Q7" s="2"/>
      <c r="R7" s="1"/>
      <c r="S7" s="12"/>
      <c r="T7" s="12" t="s">
        <v>5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</row>
    <row r="8" spans="1:67" ht="15.6" thickTop="1" thickBot="1" x14ac:dyDescent="0.35">
      <c r="A8" s="16"/>
      <c r="B8" s="16"/>
      <c r="C8" s="16"/>
      <c r="D8" s="16"/>
      <c r="E8" s="16"/>
      <c r="F8" s="16"/>
      <c r="G8" s="16"/>
      <c r="H8" s="16"/>
      <c r="I8" s="16"/>
      <c r="J8" s="7" t="s">
        <v>3</v>
      </c>
      <c r="K8" s="16"/>
      <c r="L8" s="7"/>
      <c r="M8" s="16"/>
      <c r="N8" s="7"/>
      <c r="O8" s="15"/>
      <c r="P8" s="14" t="s">
        <v>2</v>
      </c>
      <c r="Q8" s="16"/>
      <c r="R8" s="7"/>
      <c r="S8" s="9"/>
      <c r="T8" s="9" t="s">
        <v>6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ht="15.6" thickTop="1" thickBot="1" x14ac:dyDescent="0.35">
      <c r="A9" s="16"/>
      <c r="B9" s="16"/>
      <c r="C9" s="16"/>
      <c r="D9" s="16"/>
      <c r="E9" s="16"/>
      <c r="F9" s="16"/>
      <c r="G9" s="16"/>
      <c r="H9" s="16"/>
      <c r="I9" s="16"/>
      <c r="J9" s="1" t="s">
        <v>4</v>
      </c>
      <c r="K9" s="11"/>
      <c r="L9" s="1"/>
      <c r="M9" s="11"/>
      <c r="N9" s="1"/>
      <c r="O9" s="11" t="s">
        <v>2</v>
      </c>
      <c r="P9" s="3"/>
      <c r="Q9" s="11"/>
      <c r="R9" s="1"/>
      <c r="S9" s="12"/>
      <c r="T9" s="12" t="s">
        <v>5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</row>
    <row r="10" spans="1:67" ht="15.6" thickTop="1" thickBot="1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7" t="s">
        <v>4</v>
      </c>
      <c r="K10" s="16"/>
      <c r="L10" s="7"/>
      <c r="M10" s="16"/>
      <c r="N10" s="7"/>
      <c r="O10" s="16"/>
      <c r="P10" s="14" t="s">
        <v>2</v>
      </c>
      <c r="Q10" s="16"/>
      <c r="R10" s="7"/>
      <c r="S10" s="9"/>
      <c r="T10" s="9" t="s">
        <v>6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</row>
    <row r="11" spans="1:67" ht="15.6" thickTop="1" thickBot="1" x14ac:dyDescent="0.35">
      <c r="A11" s="16"/>
      <c r="B11" s="16"/>
      <c r="C11" s="16"/>
      <c r="D11" s="16"/>
      <c r="E11" s="16"/>
      <c r="F11" s="16"/>
      <c r="G11" s="16"/>
      <c r="H11" s="16"/>
      <c r="I11" s="16"/>
      <c r="J11" s="1" t="s">
        <v>5</v>
      </c>
      <c r="K11" s="11"/>
      <c r="L11" s="1"/>
      <c r="M11" s="11"/>
      <c r="N11" s="1"/>
      <c r="O11" s="11"/>
      <c r="P11" s="1"/>
      <c r="Q11" s="11" t="s">
        <v>2</v>
      </c>
      <c r="R11" s="1"/>
      <c r="S11" s="12"/>
      <c r="T11" s="12" t="s">
        <v>6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</row>
    <row r="12" spans="1:67" ht="15" thickTop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</row>
    <row r="13" spans="1:67" x14ac:dyDescent="0.3">
      <c r="A13" s="16"/>
      <c r="B13" s="36" t="s">
        <v>35</v>
      </c>
      <c r="C13" s="36"/>
      <c r="D13" s="36"/>
      <c r="E13" s="36"/>
      <c r="F13" s="36"/>
      <c r="G13" s="16"/>
      <c r="H13" s="36" t="s">
        <v>36</v>
      </c>
      <c r="I13" s="36"/>
      <c r="J13" s="36"/>
      <c r="K13" s="36"/>
      <c r="L13" s="36"/>
      <c r="M13" s="36"/>
      <c r="N13" s="36"/>
      <c r="O13" s="36"/>
      <c r="P13" s="3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</row>
    <row r="14" spans="1:67" ht="25.2" x14ac:dyDescent="0.45">
      <c r="A14" s="33" t="s">
        <v>26</v>
      </c>
      <c r="B14" s="33" t="s">
        <v>27</v>
      </c>
      <c r="C14" s="33" t="s">
        <v>28</v>
      </c>
      <c r="D14" s="33" t="s">
        <v>29</v>
      </c>
      <c r="E14" s="33" t="s">
        <v>30</v>
      </c>
      <c r="F14" s="33" t="s">
        <v>31</v>
      </c>
      <c r="G14" s="33"/>
      <c r="H14" s="33"/>
      <c r="I14" s="33" t="s">
        <v>27</v>
      </c>
      <c r="J14" s="33" t="s">
        <v>28</v>
      </c>
      <c r="K14" s="33" t="s">
        <v>29</v>
      </c>
      <c r="L14" s="33" t="s">
        <v>30</v>
      </c>
      <c r="M14" s="33" t="s">
        <v>31</v>
      </c>
      <c r="N14" s="33"/>
      <c r="O14" s="33" t="s">
        <v>32</v>
      </c>
      <c r="P14" s="33" t="s">
        <v>33</v>
      </c>
      <c r="Q14" s="33"/>
      <c r="R14" s="33"/>
      <c r="S14" s="33" t="s">
        <v>34</v>
      </c>
      <c r="T14" s="33" t="s">
        <v>7</v>
      </c>
      <c r="U14" s="33" t="s">
        <v>8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</row>
    <row r="15" spans="1:67" ht="25.2" x14ac:dyDescent="0.45">
      <c r="A15" s="33" t="s">
        <v>27</v>
      </c>
      <c r="B15" s="33">
        <v>1</v>
      </c>
      <c r="C15" s="33">
        <v>3</v>
      </c>
      <c r="D15" s="33">
        <v>5</v>
      </c>
      <c r="E15" s="33">
        <v>7</v>
      </c>
      <c r="F15" s="33">
        <v>1</v>
      </c>
      <c r="G15" s="33"/>
      <c r="H15" s="33" t="s">
        <v>27</v>
      </c>
      <c r="I15" s="33">
        <v>0.37366548042704628</v>
      </c>
      <c r="J15" s="33">
        <v>0.56149732620320847</v>
      </c>
      <c r="K15" s="33">
        <v>0.43352601156069365</v>
      </c>
      <c r="L15" s="33">
        <v>0.34806629834254144</v>
      </c>
      <c r="M15" s="33">
        <v>6.6666666666666666E-2</v>
      </c>
      <c r="N15" s="33"/>
      <c r="O15" s="33">
        <v>0.35668435664003134</v>
      </c>
      <c r="P15" s="33">
        <v>2.8786044130931581</v>
      </c>
      <c r="Q15" s="33"/>
      <c r="R15" s="33"/>
      <c r="S15" s="33">
        <v>8.7613398464231711</v>
      </c>
      <c r="T15" s="33">
        <v>0.94033496160579277</v>
      </c>
      <c r="U15" s="33">
        <v>0.84714861405927266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</row>
    <row r="16" spans="1:67" ht="25.2" x14ac:dyDescent="0.45">
      <c r="A16" s="33" t="s">
        <v>28</v>
      </c>
      <c r="B16" s="33">
        <v>0.33333333333333331</v>
      </c>
      <c r="C16" s="33">
        <v>1</v>
      </c>
      <c r="D16" s="33">
        <v>5</v>
      </c>
      <c r="E16" s="33">
        <v>7</v>
      </c>
      <c r="F16" s="33">
        <v>1</v>
      </c>
      <c r="G16" s="33"/>
      <c r="H16" s="33" t="s">
        <v>28</v>
      </c>
      <c r="I16" s="33">
        <v>0.12455516014234876</v>
      </c>
      <c r="J16" s="33">
        <v>0.18716577540106949</v>
      </c>
      <c r="K16" s="33">
        <v>0.43352601156069365</v>
      </c>
      <c r="L16" s="33">
        <v>0.34806629834254144</v>
      </c>
      <c r="M16" s="33">
        <v>6.6666666666666666E-2</v>
      </c>
      <c r="N16" s="33"/>
      <c r="O16" s="33">
        <v>0.231995982422664</v>
      </c>
      <c r="P16" s="33">
        <v>2.1768228771544762</v>
      </c>
      <c r="Q16" s="33"/>
      <c r="R16" s="33"/>
      <c r="S16" s="33"/>
      <c r="T16" s="33"/>
      <c r="U16" s="33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7" ht="25.2" x14ac:dyDescent="0.45">
      <c r="A17" s="33" t="s">
        <v>29</v>
      </c>
      <c r="B17" s="33">
        <v>0.2</v>
      </c>
      <c r="C17" s="33">
        <v>0.2</v>
      </c>
      <c r="D17" s="33">
        <v>1</v>
      </c>
      <c r="E17" s="33">
        <v>5</v>
      </c>
      <c r="F17" s="33">
        <v>3</v>
      </c>
      <c r="G17" s="33"/>
      <c r="H17" s="33" t="s">
        <v>29</v>
      </c>
      <c r="I17" s="33">
        <v>7.4733096085409262E-2</v>
      </c>
      <c r="J17" s="33">
        <v>3.7433155080213901E-2</v>
      </c>
      <c r="K17" s="33">
        <v>8.6705202312138727E-2</v>
      </c>
      <c r="L17" s="33">
        <v>0.24861878453038674</v>
      </c>
      <c r="M17" s="33">
        <v>0.2</v>
      </c>
      <c r="N17" s="33"/>
      <c r="O17" s="33">
        <v>0.12949804760162972</v>
      </c>
      <c r="P17" s="33">
        <v>1.3915723747016309</v>
      </c>
      <c r="Q17" s="33"/>
      <c r="R17" s="33"/>
      <c r="S17" s="33"/>
      <c r="T17" s="33"/>
      <c r="U17" s="33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</row>
    <row r="18" spans="1:67" ht="25.2" x14ac:dyDescent="0.45">
      <c r="A18" s="33" t="s">
        <v>30</v>
      </c>
      <c r="B18" s="33">
        <v>0.14285714285714279</v>
      </c>
      <c r="C18" s="33">
        <v>0.14285714285714279</v>
      </c>
      <c r="D18" s="33">
        <v>0.2</v>
      </c>
      <c r="E18" s="33">
        <v>1</v>
      </c>
      <c r="F18" s="33">
        <v>9</v>
      </c>
      <c r="G18" s="33"/>
      <c r="H18" s="33" t="s">
        <v>30</v>
      </c>
      <c r="I18" s="33">
        <v>5.3380782918149447E-2</v>
      </c>
      <c r="J18" s="33">
        <v>2.6737967914438488E-2</v>
      </c>
      <c r="K18" s="33">
        <v>1.7341040462427747E-2</v>
      </c>
      <c r="L18" s="33">
        <v>4.9723756906077346E-2</v>
      </c>
      <c r="M18" s="33">
        <v>0.6</v>
      </c>
      <c r="N18" s="33"/>
      <c r="O18" s="33">
        <v>0.1494367096402186</v>
      </c>
      <c r="P18" s="33">
        <v>1.4508976437143224</v>
      </c>
      <c r="Q18" s="33"/>
      <c r="R18" s="33"/>
      <c r="S18" s="33"/>
      <c r="T18" s="33"/>
      <c r="U18" s="33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</row>
    <row r="19" spans="1:67" ht="25.2" x14ac:dyDescent="0.45">
      <c r="A19" s="33" t="s">
        <v>31</v>
      </c>
      <c r="B19" s="33">
        <v>1</v>
      </c>
      <c r="C19" s="33">
        <v>1</v>
      </c>
      <c r="D19" s="33">
        <v>0.33333333333333331</v>
      </c>
      <c r="E19" s="33">
        <v>0.1111111111111111</v>
      </c>
      <c r="F19" s="33">
        <v>1</v>
      </c>
      <c r="G19" s="33"/>
      <c r="H19" s="33" t="s">
        <v>31</v>
      </c>
      <c r="I19" s="33">
        <v>0.37366548042704628</v>
      </c>
      <c r="J19" s="33">
        <v>0.18716577540106949</v>
      </c>
      <c r="K19" s="33">
        <v>2.8901734104046242E-2</v>
      </c>
      <c r="L19" s="33">
        <v>5.5248618784530384E-3</v>
      </c>
      <c r="M19" s="33">
        <v>6.6666666666666666E-2</v>
      </c>
      <c r="N19" s="33"/>
      <c r="O19" s="33">
        <v>0.13238490369545636</v>
      </c>
      <c r="P19" s="33">
        <v>0.78083533747427469</v>
      </c>
      <c r="Q19" s="33"/>
      <c r="R19" s="33"/>
      <c r="S19" s="33"/>
      <c r="T19" s="33"/>
      <c r="U19" s="33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</row>
    <row r="20" spans="1:6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</row>
    <row r="21" spans="1:6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</row>
    <row r="22" spans="1:67" x14ac:dyDescent="0.3">
      <c r="A22" s="36" t="s">
        <v>40</v>
      </c>
      <c r="B22" s="36"/>
      <c r="C22" s="36"/>
      <c r="D22" s="36"/>
      <c r="E22" s="36"/>
      <c r="F22" s="36"/>
      <c r="G22" s="3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</row>
    <row r="23" spans="1:67" x14ac:dyDescent="0.3">
      <c r="A23" s="36" t="s">
        <v>38</v>
      </c>
      <c r="B23" s="36"/>
      <c r="C23" s="36"/>
      <c r="D23" s="36"/>
      <c r="E23" s="36"/>
      <c r="F23" s="3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</row>
    <row r="24" spans="1:67" x14ac:dyDescent="0.3">
      <c r="A24" s="36" t="s">
        <v>39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</row>
    <row r="25" spans="1:67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</row>
    <row r="26" spans="1:67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</row>
    <row r="27" spans="1:67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</row>
    <row r="28" spans="1:67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</row>
    <row r="29" spans="1:6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</row>
    <row r="30" spans="1:67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</row>
    <row r="31" spans="1:67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</row>
    <row r="32" spans="1:67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</row>
    <row r="33" spans="1:6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</row>
    <row r="34" spans="1:67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</row>
    <row r="35" spans="1:6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</row>
    <row r="36" spans="1:6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</row>
    <row r="37" spans="1:6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</row>
    <row r="38" spans="1:6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</row>
    <row r="39" spans="1:6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</row>
    <row r="40" spans="1:6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</row>
    <row r="41" spans="1:6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</row>
    <row r="42" spans="1:6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</row>
    <row r="43" spans="1:6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</row>
    <row r="44" spans="1:67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</row>
    <row r="45" spans="1:67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</row>
    <row r="46" spans="1:67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</row>
    <row r="47" spans="1:67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</row>
    <row r="48" spans="1:67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</row>
    <row r="49" spans="1:67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</row>
    <row r="50" spans="1:67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</row>
    <row r="51" spans="1:67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</row>
    <row r="52" spans="1:67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</row>
    <row r="53" spans="1:67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</row>
    <row r="54" spans="1:67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</row>
    <row r="55" spans="1:67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</row>
    <row r="56" spans="1:67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</row>
    <row r="57" spans="1:67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</row>
    <row r="58" spans="1:67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</row>
    <row r="59" spans="1:67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</row>
    <row r="60" spans="1:67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</row>
    <row r="61" spans="1:67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</row>
    <row r="62" spans="1:67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</row>
    <row r="63" spans="1:67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</row>
    <row r="64" spans="1:67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</row>
    <row r="65" spans="1:67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</row>
    <row r="66" spans="1:67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</row>
    <row r="67" spans="1:67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</row>
    <row r="68" spans="1:67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</row>
    <row r="69" spans="1:67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</row>
    <row r="70" spans="1:67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</row>
    <row r="71" spans="1:6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</row>
    <row r="72" spans="1:6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</row>
    <row r="73" spans="1:6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</row>
    <row r="74" spans="1:6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</row>
    <row r="75" spans="1:6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</row>
    <row r="76" spans="1:6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</row>
    <row r="77" spans="1:6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</row>
    <row r="78" spans="1:6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</row>
    <row r="79" spans="1:6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</row>
    <row r="80" spans="1:6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</row>
    <row r="81" spans="1:6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</row>
    <row r="82" spans="1:6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</row>
    <row r="83" spans="1:6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</row>
    <row r="84" spans="1:6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</row>
    <row r="85" spans="1:6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</row>
    <row r="86" spans="1:6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</row>
    <row r="87" spans="1:6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</row>
    <row r="88" spans="1:6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</row>
    <row r="89" spans="1:6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</row>
    <row r="90" spans="1:6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</row>
    <row r="91" spans="1:6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</row>
    <row r="92" spans="1:6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</row>
    <row r="93" spans="1:6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</row>
    <row r="94" spans="1:6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</row>
    <row r="95" spans="1:6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</row>
    <row r="96" spans="1:6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</row>
    <row r="97" spans="1:6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</row>
    <row r="98" spans="1:6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</row>
    <row r="99" spans="1:6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</row>
    <row r="100" spans="1:6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</row>
    <row r="101" spans="1:6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</row>
    <row r="102" spans="1:6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</row>
    <row r="103" spans="1:6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</row>
    <row r="104" spans="1:6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</row>
    <row r="105" spans="1:6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</row>
    <row r="106" spans="1:6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</row>
    <row r="107" spans="1:6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</row>
    <row r="108" spans="1:6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</row>
    <row r="109" spans="1:6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</row>
    <row r="110" spans="1:6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</row>
    <row r="111" spans="1:6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</row>
    <row r="112" spans="1:6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</row>
    <row r="113" spans="1:6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</row>
    <row r="114" spans="1:6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</row>
    <row r="115" spans="1:6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</row>
    <row r="116" spans="1:6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</row>
    <row r="117" spans="1:6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</row>
    <row r="118" spans="1:6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</row>
    <row r="119" spans="1:6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</row>
    <row r="120" spans="1:6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</row>
    <row r="121" spans="1:6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</row>
    <row r="122" spans="1:6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</row>
    <row r="123" spans="1:6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</row>
    <row r="124" spans="1:6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</row>
    <row r="125" spans="1:6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</row>
    <row r="126" spans="1:6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</row>
    <row r="127" spans="1:6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</row>
    <row r="128" spans="1:6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</row>
    <row r="129" spans="1:6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</row>
    <row r="130" spans="1:6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</row>
    <row r="131" spans="1:6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</row>
    <row r="132" spans="1:6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</row>
    <row r="133" spans="1:6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</row>
    <row r="134" spans="1:6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</row>
    <row r="135" spans="1:6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</row>
    <row r="136" spans="1:6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</row>
    <row r="137" spans="1:6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</row>
    <row r="138" spans="1:6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</row>
    <row r="139" spans="1:6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</row>
    <row r="140" spans="1:6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</row>
    <row r="141" spans="1:6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</row>
    <row r="142" spans="1:6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</row>
    <row r="143" spans="1:67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</row>
    <row r="144" spans="1:67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</row>
    <row r="145" spans="1:67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</row>
    <row r="146" spans="1:67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</row>
    <row r="147" spans="1:67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</row>
    <row r="148" spans="1:67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</row>
    <row r="149" spans="1:67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</row>
    <row r="150" spans="1:67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</row>
    <row r="151" spans="1:67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</row>
    <row r="152" spans="1:67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</row>
    <row r="153" spans="1:67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</row>
    <row r="154" spans="1:67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</row>
    <row r="155" spans="1:67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</row>
    <row r="156" spans="1:67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</row>
    <row r="157" spans="1:67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</row>
    <row r="158" spans="1:67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</row>
    <row r="159" spans="1:67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</row>
    <row r="160" spans="1:67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</row>
    <row r="161" spans="1:67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</row>
    <row r="162" spans="1:67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</row>
    <row r="163" spans="1:67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</row>
    <row r="164" spans="1:67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</row>
    <row r="165" spans="1:67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</row>
    <row r="166" spans="1:67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</row>
    <row r="167" spans="1:67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</row>
    <row r="168" spans="1:67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</row>
    <row r="169" spans="1:67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</row>
    <row r="170" spans="1:67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</row>
    <row r="171" spans="1:67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</row>
    <row r="172" spans="1:67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</row>
    <row r="173" spans="1:67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</row>
    <row r="174" spans="1:67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</row>
    <row r="175" spans="1:67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</row>
    <row r="176" spans="1:67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</row>
    <row r="177" spans="1:67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</row>
    <row r="178" spans="1:67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</row>
    <row r="179" spans="1:67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</row>
    <row r="180" spans="1:67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</row>
    <row r="181" spans="1:67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</row>
    <row r="182" spans="1:67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</row>
    <row r="183" spans="1:67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</row>
    <row r="184" spans="1:67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</row>
    <row r="185" spans="1:67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</row>
    <row r="186" spans="1:67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</row>
    <row r="187" spans="1:67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</row>
    <row r="188" spans="1:67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</row>
    <row r="189" spans="1:67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</row>
    <row r="190" spans="1:67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</row>
    <row r="191" spans="1:67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</row>
    <row r="192" spans="1:67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</row>
    <row r="193" spans="1:67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</row>
    <row r="194" spans="1:67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</row>
    <row r="195" spans="1:67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</row>
    <row r="196" spans="1:67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</row>
    <row r="197" spans="1:67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</row>
    <row r="198" spans="1:67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</row>
    <row r="199" spans="1:67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</row>
    <row r="200" spans="1:67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</row>
    <row r="201" spans="1:67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</row>
    <row r="202" spans="1:67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</row>
    <row r="203" spans="1:67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</row>
    <row r="204" spans="1:67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</row>
    <row r="205" spans="1:67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</row>
    <row r="206" spans="1:67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</row>
    <row r="207" spans="1:67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</row>
    <row r="208" spans="1:67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</row>
    <row r="209" spans="1:67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</row>
    <row r="210" spans="1:67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</row>
    <row r="211" spans="1:67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</row>
    <row r="212" spans="1:67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</row>
    <row r="213" spans="1:67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</row>
    <row r="214" spans="1:67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</row>
    <row r="215" spans="1:67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</row>
    <row r="216" spans="1:67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</row>
    <row r="217" spans="1:67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</row>
    <row r="218" spans="1:67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</row>
    <row r="219" spans="1:67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</row>
    <row r="220" spans="1:67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</row>
    <row r="221" spans="1:67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</row>
    <row r="222" spans="1:67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</row>
    <row r="223" spans="1:67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</row>
    <row r="224" spans="1:67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</row>
    <row r="225" spans="1:67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</row>
    <row r="226" spans="1:67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</row>
    <row r="227" spans="1:67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</row>
    <row r="228" spans="1:67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</row>
    <row r="229" spans="1:67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</row>
    <row r="230" spans="1:67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</row>
    <row r="231" spans="1:67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</row>
    <row r="232" spans="1:67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</row>
    <row r="233" spans="1:67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</row>
    <row r="234" spans="1:67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</row>
    <row r="235" spans="1:67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</row>
    <row r="236" spans="1:67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</row>
    <row r="237" spans="1:67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</row>
    <row r="238" spans="1:67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</row>
    <row r="239" spans="1:67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</row>
    <row r="240" spans="1:67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</row>
    <row r="241" spans="1:67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</row>
    <row r="242" spans="1:67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</row>
    <row r="243" spans="1:67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</row>
    <row r="244" spans="1:67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</row>
    <row r="245" spans="1:67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</row>
    <row r="246" spans="1:67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</row>
    <row r="247" spans="1:67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</row>
    <row r="248" spans="1:67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</row>
    <row r="249" spans="1:67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</row>
    <row r="250" spans="1:67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</row>
    <row r="251" spans="1:67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</row>
    <row r="252" spans="1:67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</row>
    <row r="253" spans="1:67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</row>
    <row r="254" spans="1:67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</row>
    <row r="255" spans="1:67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</row>
    <row r="256" spans="1:67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</row>
    <row r="257" spans="1:67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</row>
    <row r="258" spans="1:67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</row>
    <row r="259" spans="1:67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</row>
    <row r="260" spans="1:67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</row>
    <row r="261" spans="1:67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</row>
    <row r="262" spans="1:67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</row>
    <row r="263" spans="1:67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</row>
    <row r="264" spans="1:67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</row>
    <row r="265" spans="1:67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</row>
    <row r="266" spans="1:67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</row>
    <row r="267" spans="1:67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</row>
    <row r="268" spans="1:67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</row>
    <row r="269" spans="1:67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</row>
    <row r="270" spans="1:67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</row>
    <row r="271" spans="1:67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</row>
    <row r="272" spans="1:67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</row>
    <row r="273" spans="1:67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</row>
    <row r="274" spans="1:67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</row>
    <row r="275" spans="1:67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</row>
    <row r="276" spans="1:67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</row>
    <row r="277" spans="1:67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</row>
    <row r="278" spans="1:67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</row>
    <row r="279" spans="1:67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</row>
    <row r="280" spans="1:67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</row>
    <row r="281" spans="1:67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</row>
    <row r="282" spans="1:67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</row>
    <row r="283" spans="1:67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</row>
    <row r="284" spans="1:67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</row>
    <row r="285" spans="1:67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</row>
    <row r="286" spans="1:67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</row>
    <row r="287" spans="1:67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</row>
    <row r="288" spans="1:67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</row>
    <row r="289" spans="1:67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</row>
  </sheetData>
  <mergeCells count="5">
    <mergeCell ref="B13:F13"/>
    <mergeCell ref="H13:P13"/>
    <mergeCell ref="A22:G22"/>
    <mergeCell ref="A23:F23"/>
    <mergeCell ref="A24:K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B1" workbookViewId="0">
      <selection activeCell="B27" sqref="A1:XFD1048576"/>
    </sheetView>
  </sheetViews>
  <sheetFormatPr defaultRowHeight="14.4" x14ac:dyDescent="0.3"/>
  <cols>
    <col min="1" max="1" width="34.6640625" style="16" customWidth="1"/>
    <col min="2" max="2" width="33.77734375" style="16" customWidth="1"/>
    <col min="3" max="3" width="11.88671875" style="16" customWidth="1"/>
    <col min="4" max="4" width="24.44140625" style="16" customWidth="1"/>
    <col min="5" max="5" width="31.5546875" style="16" customWidth="1"/>
    <col min="6" max="6" width="22.5546875" style="16" customWidth="1"/>
    <col min="7" max="16384" width="8.88671875" style="16"/>
  </cols>
  <sheetData>
    <row r="1" spans="1:29" ht="51.6" thickTop="1" thickBot="1" x14ac:dyDescent="0.35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J1" s="1" t="s">
        <v>0</v>
      </c>
      <c r="K1" s="2">
        <v>9</v>
      </c>
      <c r="L1" s="3">
        <v>7</v>
      </c>
      <c r="M1" s="2">
        <v>5</v>
      </c>
      <c r="N1" s="3">
        <v>3</v>
      </c>
      <c r="O1" s="2">
        <v>1</v>
      </c>
      <c r="P1" s="3">
        <v>3</v>
      </c>
      <c r="Q1" s="2">
        <v>5</v>
      </c>
      <c r="R1" s="3">
        <v>7</v>
      </c>
      <c r="S1" s="4">
        <v>9</v>
      </c>
      <c r="T1" s="5"/>
      <c r="Y1" s="18" t="s">
        <v>17</v>
      </c>
      <c r="Z1" s="19" t="s">
        <v>18</v>
      </c>
      <c r="AA1" s="19" t="s">
        <v>19</v>
      </c>
      <c r="AB1" s="19" t="s">
        <v>20</v>
      </c>
      <c r="AC1" s="19" t="s">
        <v>21</v>
      </c>
    </row>
    <row r="2" spans="1:29" ht="15.6" thickTop="1" thickBot="1" x14ac:dyDescent="0.35">
      <c r="A2" s="16">
        <v>2</v>
      </c>
      <c r="B2" s="16">
        <v>1</v>
      </c>
      <c r="C2" s="16">
        <v>5</v>
      </c>
      <c r="D2" s="16">
        <v>3</v>
      </c>
      <c r="E2" s="16">
        <v>3</v>
      </c>
      <c r="F2" s="16">
        <v>2</v>
      </c>
      <c r="G2" s="16">
        <v>1</v>
      </c>
      <c r="H2" s="16">
        <v>2</v>
      </c>
      <c r="J2" s="6" t="s">
        <v>1</v>
      </c>
      <c r="L2" s="7"/>
      <c r="N2" s="7"/>
      <c r="O2" s="15"/>
      <c r="P2" s="7" t="s">
        <v>2</v>
      </c>
      <c r="R2" s="7"/>
      <c r="S2" s="9"/>
      <c r="T2" s="10" t="s">
        <v>3</v>
      </c>
      <c r="X2" s="24" t="s">
        <v>22</v>
      </c>
      <c r="Y2" s="30">
        <v>50</v>
      </c>
      <c r="Z2" s="22">
        <v>45</v>
      </c>
      <c r="AA2" s="20">
        <v>55</v>
      </c>
      <c r="AB2" s="22">
        <v>85</v>
      </c>
      <c r="AC2" s="21">
        <v>65</v>
      </c>
    </row>
    <row r="3" spans="1:29" ht="15.6" thickTop="1" thickBot="1" x14ac:dyDescent="0.35">
      <c r="J3" s="1" t="s">
        <v>1</v>
      </c>
      <c r="K3" s="11"/>
      <c r="L3" s="1"/>
      <c r="M3" s="11"/>
      <c r="N3" s="1"/>
      <c r="O3" s="2"/>
      <c r="P3" s="1" t="s">
        <v>2</v>
      </c>
      <c r="Q3" s="11"/>
      <c r="R3" s="1"/>
      <c r="S3" s="12"/>
      <c r="T3" s="12" t="s">
        <v>4</v>
      </c>
      <c r="X3" s="26" t="s">
        <v>23</v>
      </c>
      <c r="Y3" s="32">
        <v>65</v>
      </c>
      <c r="Z3" s="27">
        <v>35</v>
      </c>
      <c r="AA3" s="28">
        <v>50</v>
      </c>
      <c r="AB3" s="27">
        <v>45</v>
      </c>
      <c r="AC3" s="29">
        <v>20</v>
      </c>
    </row>
    <row r="4" spans="1:29" ht="15.6" thickTop="1" thickBot="1" x14ac:dyDescent="0.35">
      <c r="J4" s="7" t="s">
        <v>1</v>
      </c>
      <c r="L4" s="7"/>
      <c r="N4" s="7"/>
      <c r="O4" s="15"/>
      <c r="P4" s="7" t="s">
        <v>2</v>
      </c>
      <c r="R4" s="7"/>
      <c r="S4" s="9"/>
      <c r="T4" s="9" t="s">
        <v>5</v>
      </c>
      <c r="X4" s="26" t="s">
        <v>24</v>
      </c>
      <c r="Y4" s="32">
        <v>85</v>
      </c>
      <c r="Z4" s="27">
        <v>40</v>
      </c>
      <c r="AA4" s="28">
        <v>25</v>
      </c>
      <c r="AB4" s="27">
        <v>60</v>
      </c>
      <c r="AC4" s="29">
        <v>55</v>
      </c>
    </row>
    <row r="5" spans="1:29" ht="15.6" thickTop="1" thickBot="1" x14ac:dyDescent="0.35">
      <c r="J5" s="1" t="s">
        <v>1</v>
      </c>
      <c r="K5" s="11"/>
      <c r="L5" s="1"/>
      <c r="M5" s="11"/>
      <c r="N5" s="1"/>
      <c r="O5" s="2"/>
      <c r="P5" s="1" t="s">
        <v>2</v>
      </c>
      <c r="Q5" s="11"/>
      <c r="R5" s="1"/>
      <c r="S5" s="12"/>
      <c r="T5" s="12" t="s">
        <v>6</v>
      </c>
      <c r="X5" s="25" t="s">
        <v>25</v>
      </c>
      <c r="Y5" s="31">
        <v>45</v>
      </c>
      <c r="Z5" s="23">
        <v>25</v>
      </c>
      <c r="AA5" s="17">
        <v>85</v>
      </c>
      <c r="AB5" s="23">
        <v>40</v>
      </c>
      <c r="AC5" s="27">
        <v>30</v>
      </c>
    </row>
    <row r="6" spans="1:29" ht="15.6" thickTop="1" thickBot="1" x14ac:dyDescent="0.35">
      <c r="J6" s="7" t="s">
        <v>3</v>
      </c>
      <c r="L6" s="7"/>
      <c r="N6" s="7"/>
      <c r="P6" s="7" t="s">
        <v>2</v>
      </c>
      <c r="Q6" s="15"/>
      <c r="R6" s="7"/>
      <c r="S6" s="9"/>
      <c r="T6" s="13" t="s">
        <v>4</v>
      </c>
    </row>
    <row r="7" spans="1:29" ht="15.6" thickTop="1" thickBot="1" x14ac:dyDescent="0.35">
      <c r="J7" s="1" t="s">
        <v>3</v>
      </c>
      <c r="K7" s="11"/>
      <c r="L7" s="1"/>
      <c r="M7" s="11"/>
      <c r="N7" s="1"/>
      <c r="O7" s="11"/>
      <c r="P7" s="1" t="s">
        <v>2</v>
      </c>
      <c r="Q7" s="2"/>
      <c r="R7" s="1"/>
      <c r="S7" s="12"/>
      <c r="T7" s="12" t="s">
        <v>5</v>
      </c>
    </row>
    <row r="8" spans="1:29" ht="15.6" thickTop="1" thickBot="1" x14ac:dyDescent="0.35">
      <c r="J8" s="7" t="s">
        <v>3</v>
      </c>
      <c r="L8" s="7"/>
      <c r="N8" s="7"/>
      <c r="O8" s="15"/>
      <c r="P8" s="14" t="s">
        <v>2</v>
      </c>
      <c r="R8" s="7"/>
      <c r="S8" s="9"/>
      <c r="T8" s="9" t="s">
        <v>6</v>
      </c>
    </row>
    <row r="9" spans="1:29" ht="15.6" thickTop="1" thickBot="1" x14ac:dyDescent="0.35">
      <c r="J9" s="1" t="s">
        <v>4</v>
      </c>
      <c r="K9" s="11"/>
      <c r="L9" s="1"/>
      <c r="M9" s="11"/>
      <c r="N9" s="1"/>
      <c r="O9" s="11" t="s">
        <v>2</v>
      </c>
      <c r="P9" s="3"/>
      <c r="Q9" s="11"/>
      <c r="R9" s="1"/>
      <c r="S9" s="12"/>
      <c r="T9" s="12" t="s">
        <v>5</v>
      </c>
    </row>
    <row r="10" spans="1:29" ht="15.6" thickTop="1" thickBot="1" x14ac:dyDescent="0.35">
      <c r="J10" s="7" t="s">
        <v>4</v>
      </c>
      <c r="L10" s="7"/>
      <c r="N10" s="7"/>
      <c r="P10" s="14" t="s">
        <v>2</v>
      </c>
      <c r="R10" s="7"/>
      <c r="S10" s="9"/>
      <c r="T10" s="9" t="s">
        <v>6</v>
      </c>
    </row>
    <row r="11" spans="1:29" ht="15.6" thickTop="1" thickBot="1" x14ac:dyDescent="0.35">
      <c r="J11" s="1" t="s">
        <v>5</v>
      </c>
      <c r="K11" s="11"/>
      <c r="L11" s="1"/>
      <c r="M11" s="11"/>
      <c r="N11" s="1"/>
      <c r="O11" s="11"/>
      <c r="P11" s="1"/>
      <c r="Q11" s="11" t="s">
        <v>2</v>
      </c>
      <c r="R11" s="1"/>
      <c r="S11" s="12"/>
      <c r="T11" s="12" t="s">
        <v>6</v>
      </c>
    </row>
    <row r="12" spans="1:29" ht="15" thickTop="1" x14ac:dyDescent="0.3"/>
    <row r="13" spans="1:29" x14ac:dyDescent="0.3">
      <c r="B13" s="36" t="s">
        <v>35</v>
      </c>
      <c r="C13" s="36"/>
      <c r="D13" s="36"/>
      <c r="E13" s="36"/>
      <c r="F13" s="36"/>
      <c r="H13" s="36" t="s">
        <v>36</v>
      </c>
      <c r="I13" s="36"/>
      <c r="J13" s="36"/>
      <c r="K13" s="36"/>
      <c r="L13" s="36"/>
      <c r="M13" s="36"/>
      <c r="N13" s="36"/>
      <c r="O13" s="36"/>
      <c r="P13" s="36"/>
    </row>
    <row r="14" spans="1:29" ht="25.2" x14ac:dyDescent="0.45">
      <c r="A14" s="33" t="s">
        <v>26</v>
      </c>
      <c r="B14" s="33" t="s">
        <v>27</v>
      </c>
      <c r="C14" s="33" t="s">
        <v>28</v>
      </c>
      <c r="D14" s="33" t="s">
        <v>29</v>
      </c>
      <c r="E14" s="33" t="s">
        <v>30</v>
      </c>
      <c r="F14" s="33" t="s">
        <v>31</v>
      </c>
      <c r="G14" s="33"/>
      <c r="H14" s="33"/>
      <c r="I14" s="33" t="s">
        <v>27</v>
      </c>
      <c r="J14" s="33" t="s">
        <v>28</v>
      </c>
      <c r="K14" s="33" t="s">
        <v>29</v>
      </c>
      <c r="L14" s="33" t="s">
        <v>30</v>
      </c>
      <c r="M14" s="33" t="s">
        <v>31</v>
      </c>
      <c r="N14" s="33"/>
      <c r="O14" s="33" t="s">
        <v>32</v>
      </c>
      <c r="P14" s="33" t="s">
        <v>33</v>
      </c>
      <c r="Q14" s="33"/>
      <c r="R14" s="33"/>
      <c r="S14" s="33" t="s">
        <v>34</v>
      </c>
      <c r="T14" s="33" t="s">
        <v>7</v>
      </c>
      <c r="U14" s="33" t="s">
        <v>8</v>
      </c>
    </row>
    <row r="15" spans="1:29" ht="25.2" x14ac:dyDescent="0.45">
      <c r="A15" s="33" t="s">
        <v>27</v>
      </c>
      <c r="B15" s="33">
        <v>1</v>
      </c>
      <c r="C15" s="33">
        <v>3</v>
      </c>
      <c r="D15" s="33">
        <v>5</v>
      </c>
      <c r="E15" s="33">
        <v>7</v>
      </c>
      <c r="F15" s="33">
        <v>1</v>
      </c>
      <c r="G15" s="33"/>
      <c r="H15" s="33" t="s">
        <v>27</v>
      </c>
      <c r="I15" s="33">
        <v>0.37366548042704628</v>
      </c>
      <c r="J15" s="33">
        <v>0.56149732620320847</v>
      </c>
      <c r="K15" s="33">
        <v>0.43352601156069365</v>
      </c>
      <c r="L15" s="33">
        <v>0.34806629834254144</v>
      </c>
      <c r="M15" s="33">
        <v>6.6666666666666666E-2</v>
      </c>
      <c r="N15" s="33"/>
      <c r="O15" s="33">
        <v>0.35668435664003134</v>
      </c>
      <c r="P15" s="33">
        <v>2.8786044130931581</v>
      </c>
      <c r="Q15" s="33"/>
      <c r="R15" s="33"/>
      <c r="S15" s="33">
        <v>8.7613398464231711</v>
      </c>
      <c r="T15" s="33">
        <v>0.94033496160579277</v>
      </c>
      <c r="U15" s="33">
        <v>0.84714861405927266</v>
      </c>
    </row>
    <row r="16" spans="1:29" ht="25.2" x14ac:dyDescent="0.45">
      <c r="A16" s="33" t="s">
        <v>28</v>
      </c>
      <c r="B16" s="33">
        <v>0.33333333333333331</v>
      </c>
      <c r="C16" s="33">
        <v>1</v>
      </c>
      <c r="D16" s="33">
        <v>5</v>
      </c>
      <c r="E16" s="33">
        <v>7</v>
      </c>
      <c r="F16" s="33">
        <v>1</v>
      </c>
      <c r="G16" s="33"/>
      <c r="H16" s="33" t="s">
        <v>28</v>
      </c>
      <c r="I16" s="33">
        <v>0.12455516014234876</v>
      </c>
      <c r="J16" s="33">
        <v>0.18716577540106949</v>
      </c>
      <c r="K16" s="33">
        <v>0.43352601156069365</v>
      </c>
      <c r="L16" s="33">
        <v>0.34806629834254144</v>
      </c>
      <c r="M16" s="33">
        <v>6.6666666666666666E-2</v>
      </c>
      <c r="N16" s="33"/>
      <c r="O16" s="33">
        <v>0.231995982422664</v>
      </c>
      <c r="P16" s="33">
        <v>2.1768228771544762</v>
      </c>
      <c r="Q16" s="33"/>
      <c r="R16" s="33"/>
      <c r="S16" s="33"/>
      <c r="T16" s="33"/>
      <c r="U16" s="33"/>
    </row>
    <row r="17" spans="1:21" ht="25.2" x14ac:dyDescent="0.45">
      <c r="A17" s="33" t="s">
        <v>29</v>
      </c>
      <c r="B17" s="33">
        <v>0.2</v>
      </c>
      <c r="C17" s="33">
        <v>0.2</v>
      </c>
      <c r="D17" s="33">
        <v>1</v>
      </c>
      <c r="E17" s="33">
        <v>5</v>
      </c>
      <c r="F17" s="33">
        <v>3</v>
      </c>
      <c r="G17" s="33"/>
      <c r="H17" s="33" t="s">
        <v>29</v>
      </c>
      <c r="I17" s="33">
        <v>7.4733096085409262E-2</v>
      </c>
      <c r="J17" s="33">
        <v>3.7433155080213901E-2</v>
      </c>
      <c r="K17" s="33">
        <v>8.6705202312138727E-2</v>
      </c>
      <c r="L17" s="33">
        <v>0.24861878453038674</v>
      </c>
      <c r="M17" s="33">
        <v>0.2</v>
      </c>
      <c r="N17" s="33"/>
      <c r="O17" s="33">
        <v>0.12949804760162972</v>
      </c>
      <c r="P17" s="33">
        <v>1.3915723747016309</v>
      </c>
      <c r="Q17" s="33"/>
      <c r="R17" s="33"/>
      <c r="S17" s="33"/>
      <c r="T17" s="33"/>
      <c r="U17" s="33"/>
    </row>
    <row r="18" spans="1:21" ht="25.2" x14ac:dyDescent="0.45">
      <c r="A18" s="33" t="s">
        <v>30</v>
      </c>
      <c r="B18" s="33">
        <v>0.14285714285714279</v>
      </c>
      <c r="C18" s="33">
        <v>0.14285714285714279</v>
      </c>
      <c r="D18" s="33">
        <v>0.2</v>
      </c>
      <c r="E18" s="33">
        <v>1</v>
      </c>
      <c r="F18" s="33">
        <v>9</v>
      </c>
      <c r="G18" s="33"/>
      <c r="H18" s="33" t="s">
        <v>30</v>
      </c>
      <c r="I18" s="33">
        <v>5.3380782918149447E-2</v>
      </c>
      <c r="J18" s="33">
        <v>2.6737967914438488E-2</v>
      </c>
      <c r="K18" s="33">
        <v>1.7341040462427747E-2</v>
      </c>
      <c r="L18" s="33">
        <v>4.9723756906077346E-2</v>
      </c>
      <c r="M18" s="33">
        <v>0.6</v>
      </c>
      <c r="N18" s="33"/>
      <c r="O18" s="33">
        <v>0.1494367096402186</v>
      </c>
      <c r="P18" s="33">
        <v>1.4508976437143224</v>
      </c>
      <c r="Q18" s="33"/>
      <c r="R18" s="33"/>
      <c r="S18" s="33"/>
      <c r="T18" s="33"/>
      <c r="U18" s="33"/>
    </row>
    <row r="19" spans="1:21" ht="25.2" x14ac:dyDescent="0.45">
      <c r="A19" s="33" t="s">
        <v>31</v>
      </c>
      <c r="B19" s="33">
        <v>1</v>
      </c>
      <c r="C19" s="33">
        <v>1</v>
      </c>
      <c r="D19" s="33">
        <v>0.33333333333333331</v>
      </c>
      <c r="E19" s="33">
        <v>0.1111111111111111</v>
      </c>
      <c r="F19" s="33">
        <v>1</v>
      </c>
      <c r="G19" s="33"/>
      <c r="H19" s="33" t="s">
        <v>31</v>
      </c>
      <c r="I19" s="33">
        <v>0.37366548042704628</v>
      </c>
      <c r="J19" s="33">
        <v>0.18716577540106949</v>
      </c>
      <c r="K19" s="33">
        <v>2.8901734104046242E-2</v>
      </c>
      <c r="L19" s="33">
        <v>5.5248618784530384E-3</v>
      </c>
      <c r="M19" s="33">
        <v>6.6666666666666666E-2</v>
      </c>
      <c r="N19" s="33"/>
      <c r="O19" s="33">
        <v>0.13238490369545636</v>
      </c>
      <c r="P19" s="33">
        <v>0.78083533747427469</v>
      </c>
      <c r="Q19" s="33"/>
      <c r="R19" s="33"/>
      <c r="S19" s="33"/>
      <c r="T19" s="33"/>
      <c r="U19" s="33"/>
    </row>
    <row r="22" spans="1:21" x14ac:dyDescent="0.3">
      <c r="A22" s="36" t="s">
        <v>41</v>
      </c>
      <c r="B22" s="36"/>
      <c r="C22" s="36"/>
      <c r="D22" s="36"/>
      <c r="E22" s="36"/>
      <c r="F22" s="36"/>
      <c r="G22" s="36"/>
    </row>
    <row r="23" spans="1:21" x14ac:dyDescent="0.3">
      <c r="A23" s="36" t="s">
        <v>38</v>
      </c>
      <c r="B23" s="36"/>
      <c r="C23" s="36"/>
      <c r="D23" s="36"/>
      <c r="E23" s="36"/>
      <c r="F23" s="36"/>
    </row>
    <row r="24" spans="1:21" x14ac:dyDescent="0.3">
      <c r="A24" s="36" t="s">
        <v>39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21" x14ac:dyDescent="0.3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</sheetData>
  <mergeCells count="5">
    <mergeCell ref="B13:F13"/>
    <mergeCell ref="H13:P13"/>
    <mergeCell ref="A22:G22"/>
    <mergeCell ref="A23:F23"/>
    <mergeCell ref="A24:K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1" sqref="F21"/>
    </sheetView>
  </sheetViews>
  <sheetFormatPr defaultRowHeight="14.4" x14ac:dyDescent="0.3"/>
  <sheetData>
    <row r="1" spans="1:1" x14ac:dyDescent="0.3">
      <c r="A1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Views>
    <sheetView topLeftCell="A42" workbookViewId="0">
      <selection sqref="A1:XFD1048576"/>
    </sheetView>
  </sheetViews>
  <sheetFormatPr defaultRowHeight="14.4" x14ac:dyDescent="0.3"/>
  <cols>
    <col min="1" max="1" width="35.44140625" style="16" bestFit="1" customWidth="1"/>
    <col min="2" max="2" width="37.5546875" style="16" bestFit="1" customWidth="1"/>
    <col min="3" max="3" width="35.5546875" style="16" bestFit="1" customWidth="1"/>
    <col min="4" max="4" width="30.6640625" style="16" bestFit="1" customWidth="1"/>
    <col min="5" max="5" width="35.88671875" style="16" bestFit="1" customWidth="1"/>
    <col min="6" max="6" width="33.33203125" style="16" bestFit="1" customWidth="1"/>
    <col min="7" max="7" width="25.33203125" style="16" bestFit="1" customWidth="1"/>
    <col min="8" max="13" width="8.88671875" style="16"/>
    <col min="14" max="14" width="25" style="16" customWidth="1"/>
    <col min="15" max="16384" width="8.88671875" style="16"/>
  </cols>
  <sheetData>
    <row r="1" spans="1:16" x14ac:dyDescent="0.3">
      <c r="A1" s="37" t="s">
        <v>44</v>
      </c>
      <c r="B1" s="38" t="s">
        <v>45</v>
      </c>
      <c r="C1" s="38" t="s">
        <v>46</v>
      </c>
      <c r="D1" s="38" t="s">
        <v>47</v>
      </c>
      <c r="E1" s="38" t="s">
        <v>48</v>
      </c>
      <c r="F1" s="38" t="s">
        <v>49</v>
      </c>
      <c r="G1" s="38" t="s">
        <v>50</v>
      </c>
      <c r="H1" s="38" t="s">
        <v>51</v>
      </c>
      <c r="I1" s="38" t="s">
        <v>52</v>
      </c>
      <c r="J1" s="38" t="s">
        <v>53</v>
      </c>
      <c r="K1" s="38" t="s">
        <v>54</v>
      </c>
      <c r="L1" s="38" t="s">
        <v>55</v>
      </c>
      <c r="M1" s="38" t="s">
        <v>56</v>
      </c>
      <c r="N1" s="39" t="s">
        <v>57</v>
      </c>
      <c r="O1" s="37"/>
      <c r="P1" s="37"/>
    </row>
    <row r="2" spans="1:16" x14ac:dyDescent="0.3">
      <c r="A2" s="38" t="s">
        <v>17</v>
      </c>
      <c r="B2" s="40">
        <v>1</v>
      </c>
      <c r="C2" s="40">
        <v>1</v>
      </c>
      <c r="D2" s="40">
        <v>1</v>
      </c>
      <c r="E2" s="40">
        <v>1</v>
      </c>
      <c r="F2" s="40">
        <v>2</v>
      </c>
      <c r="G2" s="40">
        <v>2</v>
      </c>
      <c r="H2" s="40">
        <v>2</v>
      </c>
      <c r="I2" s="40">
        <v>2</v>
      </c>
      <c r="J2" s="40">
        <v>2</v>
      </c>
      <c r="K2" s="40">
        <v>2</v>
      </c>
      <c r="L2" s="40">
        <v>2</v>
      </c>
      <c r="M2" s="40">
        <v>2</v>
      </c>
      <c r="N2" s="41">
        <f>GEOMEAN(B2:M2)</f>
        <v>1.5874010519681994</v>
      </c>
      <c r="O2" s="37"/>
      <c r="P2" s="37"/>
    </row>
    <row r="3" spans="1:16" x14ac:dyDescent="0.3">
      <c r="A3" s="38" t="s">
        <v>18</v>
      </c>
      <c r="B3" s="40">
        <v>1</v>
      </c>
      <c r="C3" s="40">
        <v>1</v>
      </c>
      <c r="D3" s="40">
        <v>1</v>
      </c>
      <c r="E3" s="40">
        <v>1</v>
      </c>
      <c r="F3" s="40">
        <v>2</v>
      </c>
      <c r="G3" s="40">
        <v>2</v>
      </c>
      <c r="H3" s="40">
        <v>2</v>
      </c>
      <c r="I3" s="40">
        <v>2</v>
      </c>
      <c r="J3" s="40">
        <v>2</v>
      </c>
      <c r="K3" s="40">
        <v>2</v>
      </c>
      <c r="L3" s="40">
        <v>2</v>
      </c>
      <c r="M3" s="40">
        <v>2</v>
      </c>
      <c r="N3" s="41">
        <f>GEOMEAN(B3:M3)</f>
        <v>1.5874010519681994</v>
      </c>
      <c r="O3" s="37"/>
      <c r="P3" s="37"/>
    </row>
    <row r="4" spans="1:16" x14ac:dyDescent="0.3">
      <c r="A4" s="38" t="s">
        <v>19</v>
      </c>
      <c r="B4" s="40">
        <v>1</v>
      </c>
      <c r="C4" s="40">
        <v>1</v>
      </c>
      <c r="D4" s="40">
        <v>1</v>
      </c>
      <c r="E4" s="40">
        <v>1</v>
      </c>
      <c r="F4" s="40">
        <v>2</v>
      </c>
      <c r="G4" s="40">
        <v>2</v>
      </c>
      <c r="H4" s="40">
        <v>2</v>
      </c>
      <c r="I4" s="40">
        <v>2</v>
      </c>
      <c r="J4" s="40">
        <v>2</v>
      </c>
      <c r="K4" s="40">
        <v>2</v>
      </c>
      <c r="L4" s="40">
        <v>3</v>
      </c>
      <c r="M4" s="40">
        <v>2</v>
      </c>
      <c r="N4" s="41">
        <f t="shared" ref="N4:N6" si="0">GEOMEAN(B4:M4)</f>
        <v>1.6419538084838305</v>
      </c>
      <c r="O4" s="37"/>
      <c r="P4" s="37"/>
    </row>
    <row r="5" spans="1:16" x14ac:dyDescent="0.3">
      <c r="A5" s="38" t="s">
        <v>20</v>
      </c>
      <c r="B5" s="40">
        <v>1</v>
      </c>
      <c r="C5" s="40">
        <v>1</v>
      </c>
      <c r="D5" s="40">
        <v>1</v>
      </c>
      <c r="E5" s="40">
        <v>1</v>
      </c>
      <c r="F5" s="40">
        <v>2</v>
      </c>
      <c r="G5" s="40">
        <v>2</v>
      </c>
      <c r="H5" s="40">
        <v>2</v>
      </c>
      <c r="I5" s="40">
        <v>2</v>
      </c>
      <c r="J5" s="40">
        <v>2</v>
      </c>
      <c r="K5" s="40">
        <v>2</v>
      </c>
      <c r="L5" s="40">
        <v>2</v>
      </c>
      <c r="M5" s="40">
        <v>2</v>
      </c>
      <c r="N5" s="41">
        <f t="shared" si="0"/>
        <v>1.5874010519681994</v>
      </c>
      <c r="O5" s="37"/>
      <c r="P5" s="37"/>
    </row>
    <row r="6" spans="1:16" x14ac:dyDescent="0.3">
      <c r="A6" s="38" t="s">
        <v>21</v>
      </c>
      <c r="B6" s="40">
        <v>1</v>
      </c>
      <c r="C6" s="40">
        <v>1</v>
      </c>
      <c r="D6" s="40">
        <v>1</v>
      </c>
      <c r="E6" s="40">
        <v>1</v>
      </c>
      <c r="F6" s="40">
        <v>2</v>
      </c>
      <c r="G6" s="40">
        <v>2</v>
      </c>
      <c r="H6" s="40">
        <v>2</v>
      </c>
      <c r="I6" s="40">
        <v>8</v>
      </c>
      <c r="J6" s="40">
        <v>2</v>
      </c>
      <c r="K6" s="40">
        <v>2</v>
      </c>
      <c r="L6" s="40">
        <v>2</v>
      </c>
      <c r="M6" s="40">
        <v>2</v>
      </c>
      <c r="N6" s="41">
        <f t="shared" si="0"/>
        <v>1.7817974362806785</v>
      </c>
      <c r="O6" s="37"/>
      <c r="P6" s="37"/>
    </row>
    <row r="7" spans="1:16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 x14ac:dyDescent="0.3">
      <c r="A8" s="37"/>
      <c r="B8" s="42" t="s">
        <v>58</v>
      </c>
      <c r="C8" s="42"/>
      <c r="D8" s="42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</row>
    <row r="9" spans="1:16" x14ac:dyDescent="0.3">
      <c r="A9" s="43" t="s">
        <v>59</v>
      </c>
      <c r="B9" s="43" t="s">
        <v>60</v>
      </c>
      <c r="C9" s="43" t="s">
        <v>61</v>
      </c>
      <c r="D9" s="43" t="s">
        <v>18</v>
      </c>
      <c r="E9" s="43" t="s">
        <v>19</v>
      </c>
      <c r="F9" s="43" t="s">
        <v>20</v>
      </c>
      <c r="G9" s="43" t="s">
        <v>21</v>
      </c>
    </row>
    <row r="10" spans="1:16" x14ac:dyDescent="0.3">
      <c r="A10" s="37" t="s">
        <v>62</v>
      </c>
      <c r="B10" s="37" t="s">
        <v>63</v>
      </c>
      <c r="C10" s="37">
        <v>50</v>
      </c>
      <c r="D10" s="37">
        <v>65</v>
      </c>
      <c r="E10" s="37">
        <v>90</v>
      </c>
      <c r="F10" s="37">
        <v>75</v>
      </c>
      <c r="G10" s="37">
        <v>90</v>
      </c>
    </row>
    <row r="11" spans="1:16" x14ac:dyDescent="0.3">
      <c r="A11" s="37" t="s">
        <v>64</v>
      </c>
      <c r="B11" s="37" t="s">
        <v>65</v>
      </c>
      <c r="C11" s="37">
        <v>50</v>
      </c>
      <c r="D11" s="37">
        <v>90</v>
      </c>
      <c r="E11" s="37">
        <v>70</v>
      </c>
      <c r="F11" s="37">
        <v>75</v>
      </c>
      <c r="G11" s="37">
        <v>90</v>
      </c>
    </row>
    <row r="12" spans="1:16" x14ac:dyDescent="0.3">
      <c r="A12" s="37" t="s">
        <v>66</v>
      </c>
      <c r="B12" s="37" t="s">
        <v>67</v>
      </c>
      <c r="C12" s="37">
        <v>50</v>
      </c>
      <c r="D12" s="37">
        <v>70</v>
      </c>
      <c r="E12" s="37">
        <v>50</v>
      </c>
      <c r="F12" s="37">
        <v>75</v>
      </c>
      <c r="G12" s="37">
        <v>90</v>
      </c>
    </row>
    <row r="13" spans="1:16" x14ac:dyDescent="0.3">
      <c r="A13" s="37" t="s">
        <v>68</v>
      </c>
      <c r="B13" s="37" t="s">
        <v>69</v>
      </c>
      <c r="C13" s="37">
        <v>50</v>
      </c>
      <c r="D13" s="37">
        <v>70</v>
      </c>
      <c r="E13" s="37">
        <v>30</v>
      </c>
      <c r="F13" s="37">
        <v>75</v>
      </c>
      <c r="G13" s="37">
        <v>90</v>
      </c>
    </row>
    <row r="14" spans="1:16" x14ac:dyDescent="0.3">
      <c r="A14" s="37" t="s">
        <v>70</v>
      </c>
      <c r="B14" s="37" t="s">
        <v>67</v>
      </c>
      <c r="C14" s="37">
        <v>50</v>
      </c>
      <c r="D14" s="37">
        <v>80</v>
      </c>
      <c r="E14" s="37">
        <v>10</v>
      </c>
      <c r="F14" s="37">
        <v>75</v>
      </c>
      <c r="G14" s="37">
        <v>90</v>
      </c>
    </row>
    <row r="15" spans="1:16" x14ac:dyDescent="0.3">
      <c r="A15" s="37" t="s">
        <v>71</v>
      </c>
      <c r="B15" s="37" t="s">
        <v>65</v>
      </c>
      <c r="C15" s="37">
        <v>50</v>
      </c>
      <c r="D15" s="37">
        <v>78</v>
      </c>
      <c r="E15" s="37">
        <v>10</v>
      </c>
      <c r="F15" s="37">
        <v>75</v>
      </c>
      <c r="G15" s="37">
        <v>90</v>
      </c>
    </row>
    <row r="16" spans="1:16" x14ac:dyDescent="0.3">
      <c r="A16" s="37" t="s">
        <v>72</v>
      </c>
      <c r="B16" s="37" t="s">
        <v>69</v>
      </c>
      <c r="C16" s="37">
        <v>50</v>
      </c>
      <c r="D16" s="37">
        <v>79</v>
      </c>
      <c r="E16" s="37">
        <v>10</v>
      </c>
      <c r="F16" s="37">
        <v>75</v>
      </c>
      <c r="G16" s="37">
        <v>90</v>
      </c>
    </row>
    <row r="17" spans="1:7" x14ac:dyDescent="0.3">
      <c r="A17" s="37" t="s">
        <v>73</v>
      </c>
      <c r="B17" s="37" t="s">
        <v>63</v>
      </c>
      <c r="C17" s="37">
        <v>50</v>
      </c>
      <c r="D17" s="37">
        <v>80</v>
      </c>
      <c r="E17" s="37">
        <v>10</v>
      </c>
      <c r="F17" s="37">
        <v>75</v>
      </c>
      <c r="G17" s="37">
        <v>90</v>
      </c>
    </row>
    <row r="18" spans="1:7" x14ac:dyDescent="0.3">
      <c r="A18" s="37" t="s">
        <v>74</v>
      </c>
      <c r="B18" s="37" t="s">
        <v>69</v>
      </c>
      <c r="C18" s="37">
        <v>50</v>
      </c>
      <c r="D18" s="37">
        <v>81</v>
      </c>
      <c r="E18" s="37">
        <v>10</v>
      </c>
      <c r="F18" s="37">
        <v>75</v>
      </c>
      <c r="G18" s="37">
        <v>90</v>
      </c>
    </row>
    <row r="19" spans="1:7" x14ac:dyDescent="0.3">
      <c r="A19" s="37" t="s">
        <v>75</v>
      </c>
      <c r="B19" s="37" t="s">
        <v>65</v>
      </c>
      <c r="C19" s="37">
        <v>50</v>
      </c>
      <c r="D19" s="37">
        <v>82</v>
      </c>
      <c r="E19" s="37">
        <v>10</v>
      </c>
      <c r="F19" s="37">
        <v>75</v>
      </c>
      <c r="G19" s="37">
        <v>90</v>
      </c>
    </row>
    <row r="20" spans="1:7" x14ac:dyDescent="0.3">
      <c r="A20" s="37" t="s">
        <v>76</v>
      </c>
      <c r="B20" s="37" t="s">
        <v>67</v>
      </c>
      <c r="C20" s="37">
        <v>50</v>
      </c>
      <c r="D20" s="37">
        <v>83</v>
      </c>
      <c r="E20" s="37">
        <v>10</v>
      </c>
      <c r="F20" s="37">
        <v>75</v>
      </c>
      <c r="G20" s="37">
        <v>90</v>
      </c>
    </row>
    <row r="21" spans="1:7" x14ac:dyDescent="0.3">
      <c r="A21" s="37" t="s">
        <v>77</v>
      </c>
      <c r="B21" s="37" t="s">
        <v>65</v>
      </c>
      <c r="C21" s="37">
        <v>50</v>
      </c>
      <c r="D21" s="37">
        <v>84</v>
      </c>
      <c r="E21" s="37">
        <v>10</v>
      </c>
      <c r="F21" s="37">
        <v>75</v>
      </c>
      <c r="G21" s="37">
        <v>90</v>
      </c>
    </row>
    <row r="22" spans="1:7" x14ac:dyDescent="0.3">
      <c r="A22" s="37" t="s">
        <v>78</v>
      </c>
      <c r="B22" s="37" t="s">
        <v>63</v>
      </c>
      <c r="C22" s="37">
        <v>50</v>
      </c>
      <c r="D22" s="37">
        <v>85</v>
      </c>
      <c r="E22" s="37">
        <v>10</v>
      </c>
      <c r="F22" s="37">
        <v>75</v>
      </c>
      <c r="G22" s="37">
        <v>90</v>
      </c>
    </row>
    <row r="23" spans="1:7" x14ac:dyDescent="0.3">
      <c r="A23" s="37" t="s">
        <v>79</v>
      </c>
      <c r="B23" s="37" t="s">
        <v>69</v>
      </c>
      <c r="C23" s="37">
        <v>50</v>
      </c>
      <c r="D23" s="37">
        <v>86</v>
      </c>
      <c r="E23" s="37">
        <v>10</v>
      </c>
      <c r="F23" s="37">
        <v>75</v>
      </c>
      <c r="G23" s="37">
        <v>90</v>
      </c>
    </row>
    <row r="24" spans="1:7" x14ac:dyDescent="0.3">
      <c r="A24" s="37" t="s">
        <v>80</v>
      </c>
      <c r="B24" s="37" t="s">
        <v>67</v>
      </c>
      <c r="C24" s="37">
        <v>50</v>
      </c>
      <c r="D24" s="37">
        <v>87</v>
      </c>
      <c r="E24" s="37">
        <v>10</v>
      </c>
      <c r="F24" s="37">
        <v>75</v>
      </c>
      <c r="G24" s="37">
        <v>90</v>
      </c>
    </row>
    <row r="25" spans="1:7" x14ac:dyDescent="0.3">
      <c r="A25" s="37" t="s">
        <v>81</v>
      </c>
      <c r="B25" s="37" t="s">
        <v>63</v>
      </c>
      <c r="C25" s="37">
        <v>50</v>
      </c>
      <c r="D25" s="37">
        <v>40</v>
      </c>
      <c r="E25" s="37">
        <v>10</v>
      </c>
      <c r="F25" s="37">
        <v>75</v>
      </c>
      <c r="G25" s="37">
        <v>90</v>
      </c>
    </row>
    <row r="26" spans="1:7" x14ac:dyDescent="0.3">
      <c r="A26" s="37" t="s">
        <v>82</v>
      </c>
      <c r="B26" s="37" t="s">
        <v>69</v>
      </c>
      <c r="C26" s="37">
        <v>50</v>
      </c>
      <c r="D26" s="37">
        <v>40</v>
      </c>
      <c r="E26" s="37">
        <v>10</v>
      </c>
      <c r="F26" s="37">
        <v>75</v>
      </c>
      <c r="G26" s="37">
        <v>90</v>
      </c>
    </row>
    <row r="27" spans="1:7" x14ac:dyDescent="0.3">
      <c r="A27" s="37" t="s">
        <v>83</v>
      </c>
      <c r="B27" s="37" t="s">
        <v>67</v>
      </c>
      <c r="C27" s="37">
        <v>50</v>
      </c>
      <c r="D27" s="37">
        <v>40</v>
      </c>
      <c r="E27" s="37">
        <v>10</v>
      </c>
      <c r="F27" s="37">
        <v>75</v>
      </c>
      <c r="G27" s="37">
        <v>90</v>
      </c>
    </row>
    <row r="28" spans="1:7" x14ac:dyDescent="0.3">
      <c r="A28" s="37" t="s">
        <v>84</v>
      </c>
      <c r="B28" s="37" t="s">
        <v>63</v>
      </c>
      <c r="C28" s="37">
        <v>50</v>
      </c>
      <c r="D28" s="37">
        <v>40</v>
      </c>
      <c r="E28" s="37">
        <v>10</v>
      </c>
      <c r="F28" s="37">
        <v>75</v>
      </c>
      <c r="G28" s="37">
        <v>90</v>
      </c>
    </row>
    <row r="29" spans="1:7" x14ac:dyDescent="0.3">
      <c r="A29" s="37" t="s">
        <v>85</v>
      </c>
      <c r="B29" s="37" t="s">
        <v>69</v>
      </c>
      <c r="C29" s="37">
        <v>50</v>
      </c>
      <c r="D29" s="37">
        <v>40</v>
      </c>
      <c r="E29" s="37">
        <v>10</v>
      </c>
      <c r="F29" s="37">
        <v>75</v>
      </c>
      <c r="G29" s="37">
        <v>90</v>
      </c>
    </row>
    <row r="30" spans="1:7" x14ac:dyDescent="0.3">
      <c r="A30" s="37" t="s">
        <v>86</v>
      </c>
      <c r="B30" s="37" t="s">
        <v>65</v>
      </c>
      <c r="C30" s="37">
        <v>50</v>
      </c>
      <c r="D30" s="37">
        <v>40</v>
      </c>
      <c r="E30" s="37">
        <v>10</v>
      </c>
      <c r="F30" s="37">
        <v>75</v>
      </c>
      <c r="G30" s="37">
        <v>90</v>
      </c>
    </row>
    <row r="31" spans="1:7" x14ac:dyDescent="0.3">
      <c r="A31" s="37" t="s">
        <v>87</v>
      </c>
      <c r="B31" s="37" t="s">
        <v>67</v>
      </c>
      <c r="C31" s="37">
        <v>50</v>
      </c>
      <c r="D31" s="37">
        <v>40</v>
      </c>
      <c r="E31" s="37">
        <v>10</v>
      </c>
      <c r="F31" s="37">
        <v>75</v>
      </c>
      <c r="G31" s="37">
        <v>90</v>
      </c>
    </row>
    <row r="32" spans="1:7" x14ac:dyDescent="0.3">
      <c r="A32" s="37" t="s">
        <v>88</v>
      </c>
      <c r="B32" s="37" t="s">
        <v>63</v>
      </c>
      <c r="C32" s="37">
        <v>50</v>
      </c>
      <c r="D32" s="37">
        <v>40</v>
      </c>
      <c r="E32" s="37">
        <v>10</v>
      </c>
      <c r="F32" s="37">
        <v>75</v>
      </c>
      <c r="G32" s="37">
        <v>90</v>
      </c>
    </row>
    <row r="33" spans="1:7" x14ac:dyDescent="0.3">
      <c r="A33" s="37" t="s">
        <v>89</v>
      </c>
      <c r="B33" s="37" t="s">
        <v>63</v>
      </c>
      <c r="C33" s="37">
        <v>50</v>
      </c>
      <c r="D33" s="37">
        <v>40</v>
      </c>
      <c r="E33" s="37">
        <v>10</v>
      </c>
      <c r="F33" s="37">
        <v>75</v>
      </c>
      <c r="G33" s="37">
        <v>90</v>
      </c>
    </row>
    <row r="34" spans="1:7" x14ac:dyDescent="0.3">
      <c r="A34" s="37" t="s">
        <v>90</v>
      </c>
      <c r="B34" s="37" t="s">
        <v>65</v>
      </c>
      <c r="C34" s="37">
        <v>50</v>
      </c>
      <c r="D34" s="37">
        <v>40</v>
      </c>
      <c r="E34" s="37">
        <v>10</v>
      </c>
      <c r="F34" s="37">
        <v>75</v>
      </c>
      <c r="G34" s="37">
        <v>90</v>
      </c>
    </row>
    <row r="35" spans="1:7" x14ac:dyDescent="0.3">
      <c r="A35" s="37" t="s">
        <v>91</v>
      </c>
      <c r="B35" s="37" t="s">
        <v>69</v>
      </c>
      <c r="C35" s="37">
        <v>50</v>
      </c>
      <c r="D35" s="37">
        <v>40</v>
      </c>
      <c r="E35" s="37">
        <v>10</v>
      </c>
      <c r="F35" s="37">
        <v>75</v>
      </c>
      <c r="G35" s="37">
        <v>90</v>
      </c>
    </row>
    <row r="36" spans="1:7" x14ac:dyDescent="0.3">
      <c r="A36" s="37" t="s">
        <v>92</v>
      </c>
      <c r="B36" s="37" t="s">
        <v>67</v>
      </c>
      <c r="C36" s="37">
        <v>50</v>
      </c>
      <c r="D36" s="37">
        <v>40</v>
      </c>
      <c r="E36" s="37">
        <v>10</v>
      </c>
      <c r="F36" s="37">
        <v>75</v>
      </c>
      <c r="G36" s="37">
        <v>90</v>
      </c>
    </row>
    <row r="37" spans="1:7" x14ac:dyDescent="0.3">
      <c r="A37" s="37" t="s">
        <v>93</v>
      </c>
      <c r="B37" s="37" t="s">
        <v>69</v>
      </c>
      <c r="C37" s="37">
        <v>50</v>
      </c>
      <c r="D37" s="37">
        <v>40</v>
      </c>
      <c r="E37" s="37">
        <v>10</v>
      </c>
      <c r="F37" s="37">
        <v>75</v>
      </c>
      <c r="G37" s="37">
        <v>90</v>
      </c>
    </row>
    <row r="38" spans="1:7" x14ac:dyDescent="0.3">
      <c r="A38" s="37" t="s">
        <v>94</v>
      </c>
      <c r="B38" s="37" t="s">
        <v>63</v>
      </c>
      <c r="C38" s="37">
        <v>50</v>
      </c>
      <c r="D38" s="37">
        <v>40</v>
      </c>
      <c r="E38" s="37">
        <v>10</v>
      </c>
      <c r="F38" s="37">
        <v>75</v>
      </c>
      <c r="G38" s="37">
        <v>90</v>
      </c>
    </row>
    <row r="39" spans="1:7" x14ac:dyDescent="0.3">
      <c r="A39" s="37" t="s">
        <v>95</v>
      </c>
      <c r="B39" s="37" t="s">
        <v>67</v>
      </c>
      <c r="C39" s="37">
        <v>50</v>
      </c>
      <c r="D39" s="37">
        <v>40</v>
      </c>
      <c r="E39" s="37">
        <v>10</v>
      </c>
      <c r="F39" s="37">
        <v>75</v>
      </c>
      <c r="G39" s="37">
        <v>90</v>
      </c>
    </row>
    <row r="40" spans="1:7" x14ac:dyDescent="0.3">
      <c r="A40" s="37" t="s">
        <v>96</v>
      </c>
      <c r="B40" s="37" t="s">
        <v>63</v>
      </c>
      <c r="C40" s="37">
        <v>50</v>
      </c>
      <c r="D40" s="37">
        <v>40</v>
      </c>
      <c r="E40" s="37">
        <v>10</v>
      </c>
      <c r="F40" s="37">
        <v>75</v>
      </c>
      <c r="G40" s="37">
        <v>90</v>
      </c>
    </row>
    <row r="41" spans="1:7" x14ac:dyDescent="0.3">
      <c r="A41" s="37" t="s">
        <v>97</v>
      </c>
      <c r="B41" s="37" t="s">
        <v>67</v>
      </c>
      <c r="C41" s="37">
        <v>50</v>
      </c>
      <c r="D41" s="37">
        <v>40</v>
      </c>
      <c r="E41" s="37">
        <v>10</v>
      </c>
      <c r="F41" s="37">
        <v>75</v>
      </c>
      <c r="G41" s="37">
        <v>70</v>
      </c>
    </row>
    <row r="42" spans="1:7" x14ac:dyDescent="0.3">
      <c r="A42" s="37"/>
      <c r="B42" s="37"/>
      <c r="C42" s="37"/>
      <c r="D42" s="37"/>
      <c r="E42" s="37"/>
      <c r="F42" s="37"/>
      <c r="G42" s="37"/>
    </row>
    <row r="43" spans="1:7" x14ac:dyDescent="0.3">
      <c r="B43" s="44" t="s">
        <v>98</v>
      </c>
      <c r="C43" s="44"/>
      <c r="D43" s="44"/>
      <c r="E43" s="44"/>
    </row>
    <row r="44" spans="1:7" x14ac:dyDescent="0.3">
      <c r="A44" s="45" t="s">
        <v>99</v>
      </c>
      <c r="B44" s="45"/>
      <c r="C44" s="45"/>
      <c r="D44" s="45"/>
      <c r="E44" s="45"/>
      <c r="F44" s="45"/>
      <c r="G44" s="37"/>
    </row>
    <row r="45" spans="1:7" x14ac:dyDescent="0.3">
      <c r="A45" s="46" t="s">
        <v>100</v>
      </c>
      <c r="B45" s="47" t="s">
        <v>61</v>
      </c>
      <c r="C45" s="47" t="s">
        <v>18</v>
      </c>
      <c r="D45" s="47" t="s">
        <v>19</v>
      </c>
      <c r="E45" s="47" t="s">
        <v>20</v>
      </c>
      <c r="F45" s="47" t="s">
        <v>21</v>
      </c>
      <c r="G45" s="37"/>
    </row>
    <row r="46" spans="1:7" x14ac:dyDescent="0.3">
      <c r="A46" s="48" t="s">
        <v>101</v>
      </c>
      <c r="B46" s="49">
        <v>0.41423472566816999</v>
      </c>
      <c r="C46" s="49">
        <v>0.29877034201477598</v>
      </c>
      <c r="D46" s="49">
        <v>0.15597733682984399</v>
      </c>
      <c r="E46" s="49">
        <v>7.9089454557420003E-2</v>
      </c>
      <c r="F46" s="49">
        <v>5.1928140929789701E-2</v>
      </c>
      <c r="G46" s="37"/>
    </row>
    <row r="47" spans="1:7" x14ac:dyDescent="0.3">
      <c r="A47" s="50"/>
      <c r="B47" s="46"/>
      <c r="C47" s="46"/>
      <c r="D47" s="46"/>
      <c r="E47" s="46"/>
      <c r="F47" s="46"/>
      <c r="G47" s="37"/>
    </row>
    <row r="48" spans="1:7" x14ac:dyDescent="0.3">
      <c r="A48" s="51" t="s">
        <v>63</v>
      </c>
      <c r="B48" s="52">
        <f>AVERAGEIFS(C$2:C$41, B$2:B$41, "Türk Hava Yolları")</f>
        <v>50</v>
      </c>
      <c r="C48" s="52">
        <f>AVERAGEIFS(D$2:D$41, B$2:B$41, "Türk Hava Yolları")</f>
        <v>52.222222222222221</v>
      </c>
      <c r="D48" s="52">
        <f>AVERAGEIFS(E$2:E$41, B$2:B$41, "Türk Hava Yolları")</f>
        <v>18.888888888888889</v>
      </c>
      <c r="E48" s="52">
        <f>AVERAGEIFS(F$2:F$41, B$2:B$41, "Türk Hava Yolları")</f>
        <v>75</v>
      </c>
      <c r="F48" s="52">
        <f>AVERAGEIFS(G$2:G$41, B$2:B$41, "Türk Hava Yolları")</f>
        <v>90</v>
      </c>
      <c r="G48" s="37"/>
    </row>
    <row r="49" spans="1:7" x14ac:dyDescent="0.3">
      <c r="A49" s="51" t="s">
        <v>102</v>
      </c>
      <c r="B49" s="52">
        <f>AVERAGEIFS(C$2:C$41, B$2:B$41, "Pegasus Havayolları")</f>
        <v>50</v>
      </c>
      <c r="C49" s="52">
        <f>AVERAGEIFS(D$2:D$41, B$2:B$41, "Pegasus Havayolları")</f>
        <v>69</v>
      </c>
      <c r="D49" s="52">
        <f>AVERAGEIFS(E$2:E$41, B$2:B$41, "Pegasus Havayolları")</f>
        <v>20</v>
      </c>
      <c r="E49" s="52">
        <f>AVERAGEIFS(F$2:F$41, B$2:B$41, "Pegasus Havayolları")</f>
        <v>75</v>
      </c>
      <c r="F49" s="52">
        <f>AVERAGEIFS(G$2:G$41, B$2:B$41, "Pegasus Havayolları")</f>
        <v>90</v>
      </c>
      <c r="G49" s="37"/>
    </row>
    <row r="50" spans="1:7" x14ac:dyDescent="0.3">
      <c r="A50" s="51" t="s">
        <v>103</v>
      </c>
      <c r="B50" s="52">
        <f>AVERAGEIFS(C$2:C$41, B$2:B$41, "Ajet Havayolları")</f>
        <v>50</v>
      </c>
      <c r="C50" s="52">
        <f>AVERAGEIFS(D$2:D$41,B$2:B$41, "Ajet Havayolları")</f>
        <v>59.5</v>
      </c>
      <c r="D50" s="52">
        <f>AVERAGEIFS(E$2:E$41,B$2:B$41, "Ajet Havayolları")</f>
        <v>12.5</v>
      </c>
      <c r="E50" s="52">
        <f>AVERAGEIFS(F$2:F$41,B$2:B$41, "Ajet Havayolları")</f>
        <v>75</v>
      </c>
      <c r="F50" s="52">
        <f>AVERAGEIFS(G$2:G$41,B$2:B$41, "Ajet Havayolları")</f>
        <v>90</v>
      </c>
      <c r="G50" s="37"/>
    </row>
    <row r="51" spans="1:7" x14ac:dyDescent="0.3">
      <c r="A51" s="51" t="s">
        <v>67</v>
      </c>
      <c r="B51" s="52">
        <f>AVERAGEIFS(C$10:C$41, B$10:B$41, "SunExpress Havayolları")</f>
        <v>50</v>
      </c>
      <c r="C51" s="52">
        <f>AVERAGEIFS(D$10:D$41, B$10:B$41, "SunExpress Havayolları")</f>
        <v>57.777777777777779</v>
      </c>
      <c r="D51" s="52">
        <f>AVERAGEIFS(E$10:E$41, B10:B41, "SunExpress Havayolları")</f>
        <v>14.444444444444445</v>
      </c>
      <c r="E51" s="52">
        <f>AVERAGEIFS(F$10:F$41, B10:B41, "SunExpress Havayolları")</f>
        <v>75</v>
      </c>
      <c r="F51" s="52">
        <f>AVERAGEIFS(G$10:G$41, B10:B41, "SunExpress Havayolları")</f>
        <v>87.777777777777771</v>
      </c>
      <c r="G51" s="37"/>
    </row>
    <row r="52" spans="1:7" x14ac:dyDescent="0.3">
      <c r="A52" s="37"/>
      <c r="B52" s="37"/>
      <c r="C52" s="37"/>
      <c r="D52" s="37"/>
      <c r="E52" s="37"/>
      <c r="F52" s="37"/>
      <c r="G52" s="37"/>
    </row>
    <row r="53" spans="1:7" x14ac:dyDescent="0.3">
      <c r="A53" s="37"/>
      <c r="B53" s="37"/>
      <c r="C53" s="37"/>
      <c r="D53" s="37"/>
      <c r="E53" s="37"/>
      <c r="F53" s="37"/>
      <c r="G53" s="37"/>
    </row>
    <row r="54" spans="1:7" x14ac:dyDescent="0.3">
      <c r="A54" s="37"/>
      <c r="B54" s="53" t="s">
        <v>104</v>
      </c>
      <c r="C54" s="54"/>
      <c r="D54" s="54"/>
      <c r="E54" s="54"/>
      <c r="F54" s="37"/>
      <c r="G54" s="37"/>
    </row>
    <row r="55" spans="1:7" x14ac:dyDescent="0.3">
      <c r="B55" s="54"/>
      <c r="C55" s="54"/>
      <c r="D55" s="54"/>
      <c r="E55" s="54"/>
    </row>
  </sheetData>
  <mergeCells count="5">
    <mergeCell ref="B8:D8"/>
    <mergeCell ref="B43:E43"/>
    <mergeCell ref="A44:F44"/>
    <mergeCell ref="A46:A47"/>
    <mergeCell ref="B54:E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3"/>
  <sheetViews>
    <sheetView tabSelected="1" topLeftCell="D1" workbookViewId="0">
      <selection sqref="A1:H8"/>
    </sheetView>
  </sheetViews>
  <sheetFormatPr defaultRowHeight="14.4" x14ac:dyDescent="0.3"/>
  <cols>
    <col min="1" max="1" width="23.5546875" style="16" bestFit="1" customWidth="1"/>
    <col min="2" max="2" width="40.21875" style="16" bestFit="1" customWidth="1"/>
    <col min="3" max="3" width="40.33203125" style="16" bestFit="1" customWidth="1"/>
    <col min="4" max="4" width="32.21875" style="16" bestFit="1" customWidth="1"/>
    <col min="5" max="5" width="38.109375" style="16" bestFit="1" customWidth="1"/>
    <col min="6" max="6" width="39.21875" style="16" bestFit="1" customWidth="1"/>
    <col min="7" max="7" width="24.77734375" style="16" bestFit="1" customWidth="1"/>
    <col min="8" max="16384" width="8.88671875" style="16"/>
  </cols>
  <sheetData>
    <row r="1" spans="1:16" ht="16.2" x14ac:dyDescent="0.35">
      <c r="A1" s="55" t="s">
        <v>105</v>
      </c>
      <c r="B1" s="55"/>
      <c r="C1" s="56" t="s">
        <v>106</v>
      </c>
      <c r="D1" s="56" t="s">
        <v>107</v>
      </c>
      <c r="E1" s="56" t="s">
        <v>106</v>
      </c>
      <c r="F1" s="56" t="s">
        <v>106</v>
      </c>
      <c r="G1" s="56" t="s">
        <v>106</v>
      </c>
      <c r="H1" s="57"/>
      <c r="I1" s="57"/>
      <c r="J1" s="57"/>
      <c r="K1" s="57"/>
      <c r="L1" s="57"/>
      <c r="M1" s="57"/>
      <c r="N1" s="57"/>
      <c r="O1" s="57"/>
      <c r="P1" s="57"/>
    </row>
    <row r="2" spans="1:16" ht="15.6" x14ac:dyDescent="0.3">
      <c r="A2" s="58"/>
      <c r="B2" s="59" t="s">
        <v>108</v>
      </c>
      <c r="C2" s="60">
        <v>0.41423472566816999</v>
      </c>
      <c r="D2" s="60">
        <v>0.29877034201477598</v>
      </c>
      <c r="E2" s="60">
        <v>0.15597733682984399</v>
      </c>
      <c r="F2" s="60">
        <v>7.9089454557420003E-2</v>
      </c>
      <c r="G2" s="60">
        <v>5.1928140929789701E-2</v>
      </c>
      <c r="H2" s="57"/>
      <c r="I2" s="57"/>
      <c r="J2" s="57"/>
      <c r="K2" s="57"/>
      <c r="L2" s="57"/>
      <c r="M2" s="57"/>
      <c r="N2" s="57"/>
      <c r="O2" s="57"/>
      <c r="P2" s="57"/>
    </row>
    <row r="3" spans="1:16" ht="15.6" x14ac:dyDescent="0.3">
      <c r="A3" s="61"/>
      <c r="B3" s="61"/>
      <c r="C3" s="61" t="s">
        <v>17</v>
      </c>
      <c r="D3" s="61" t="s">
        <v>18</v>
      </c>
      <c r="E3" s="61" t="s">
        <v>19</v>
      </c>
      <c r="F3" s="61" t="s">
        <v>20</v>
      </c>
      <c r="G3" s="61" t="s">
        <v>21</v>
      </c>
      <c r="H3" s="57"/>
      <c r="I3" s="57"/>
      <c r="J3" s="57"/>
      <c r="K3" s="57"/>
      <c r="L3" s="57"/>
      <c r="M3" s="57"/>
      <c r="N3" s="57"/>
      <c r="O3" s="57"/>
      <c r="P3" s="57"/>
    </row>
    <row r="4" spans="1:16" ht="15.6" x14ac:dyDescent="0.3">
      <c r="A4" s="61"/>
      <c r="B4" s="61" t="s">
        <v>109</v>
      </c>
      <c r="C4" s="62">
        <v>2</v>
      </c>
      <c r="D4" s="62">
        <v>2</v>
      </c>
      <c r="E4" s="62">
        <v>2</v>
      </c>
      <c r="F4" s="62">
        <v>71.764705882352942</v>
      </c>
      <c r="G4" s="62">
        <v>75</v>
      </c>
      <c r="H4" s="57"/>
      <c r="I4" s="57"/>
      <c r="J4" s="57"/>
      <c r="K4" s="57"/>
      <c r="L4" s="57"/>
      <c r="M4" s="57"/>
      <c r="N4" s="57"/>
      <c r="O4" s="57"/>
      <c r="P4" s="57"/>
    </row>
    <row r="5" spans="1:16" ht="15.6" x14ac:dyDescent="0.3">
      <c r="A5" s="61"/>
      <c r="B5" s="61" t="s">
        <v>65</v>
      </c>
      <c r="C5" s="62">
        <v>30</v>
      </c>
      <c r="D5" s="62">
        <v>30</v>
      </c>
      <c r="E5" s="62">
        <v>30</v>
      </c>
      <c r="F5" s="62">
        <v>71.071428571428569</v>
      </c>
      <c r="G5" s="62">
        <v>75</v>
      </c>
      <c r="H5" s="57"/>
      <c r="I5" s="57"/>
      <c r="J5" s="57"/>
      <c r="K5" s="57"/>
      <c r="L5" s="57"/>
      <c r="M5" s="57"/>
      <c r="N5" s="57"/>
      <c r="O5" s="57"/>
      <c r="P5" s="57"/>
    </row>
    <row r="6" spans="1:16" ht="15.6" x14ac:dyDescent="0.3">
      <c r="A6" s="61"/>
      <c r="B6" s="61" t="s">
        <v>69</v>
      </c>
      <c r="C6" s="62">
        <v>58</v>
      </c>
      <c r="D6" s="62">
        <v>58</v>
      </c>
      <c r="E6" s="62">
        <v>58</v>
      </c>
      <c r="F6" s="62">
        <v>78.75</v>
      </c>
      <c r="G6" s="62">
        <v>74.375</v>
      </c>
      <c r="H6" s="57"/>
      <c r="I6" s="57"/>
      <c r="J6" s="57"/>
      <c r="K6" s="57"/>
      <c r="L6" s="57"/>
      <c r="M6" s="57"/>
      <c r="N6" s="57"/>
      <c r="O6" s="57"/>
      <c r="P6" s="57"/>
    </row>
    <row r="7" spans="1:16" ht="57.6" x14ac:dyDescent="0.3">
      <c r="A7" s="63" t="s">
        <v>110</v>
      </c>
      <c r="B7" s="61" t="s">
        <v>67</v>
      </c>
      <c r="C7" s="62">
        <v>86</v>
      </c>
      <c r="D7" s="62">
        <v>75.555555555555557</v>
      </c>
      <c r="E7" s="62">
        <v>75.555555555555557</v>
      </c>
      <c r="F7" s="62">
        <v>75.555555555555557</v>
      </c>
      <c r="G7" s="62">
        <v>75.555555555555557</v>
      </c>
      <c r="H7" s="57"/>
      <c r="I7" s="57"/>
      <c r="J7" s="57"/>
      <c r="K7" s="57"/>
      <c r="L7" s="57"/>
      <c r="M7" s="57"/>
      <c r="N7" s="57"/>
      <c r="O7" s="57"/>
      <c r="P7" s="57"/>
    </row>
    <row r="8" spans="1:16" ht="15.6" x14ac:dyDescent="0.3">
      <c r="A8" s="61"/>
      <c r="B8" s="61"/>
      <c r="C8" s="61"/>
      <c r="D8" s="61"/>
      <c r="E8" s="61"/>
      <c r="F8" s="61"/>
      <c r="G8" s="61"/>
      <c r="H8" s="57"/>
      <c r="I8" s="57"/>
      <c r="J8" s="57"/>
      <c r="K8" s="57"/>
      <c r="L8" s="57"/>
      <c r="M8" s="57"/>
      <c r="N8" s="57"/>
      <c r="O8" s="57"/>
      <c r="P8" s="57"/>
    </row>
    <row r="9" spans="1:16" ht="15.6" x14ac:dyDescent="0.3">
      <c r="A9" s="57"/>
      <c r="B9" s="64" t="s">
        <v>111</v>
      </c>
      <c r="C9" s="64"/>
      <c r="D9" s="64"/>
      <c r="E9" s="64"/>
      <c r="F9" s="64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1:16" ht="15.6" x14ac:dyDescent="0.3">
      <c r="A10" s="65" t="s">
        <v>112</v>
      </c>
      <c r="B10" s="65"/>
      <c r="C10" s="65"/>
      <c r="D10" s="65"/>
      <c r="E10" s="65"/>
      <c r="F10" s="65"/>
      <c r="G10" s="57"/>
      <c r="H10" s="57"/>
      <c r="I10" s="57"/>
      <c r="J10" s="57"/>
      <c r="K10" s="57"/>
      <c r="L10" s="57"/>
      <c r="M10" s="57"/>
      <c r="N10" s="57"/>
      <c r="O10" s="57"/>
      <c r="P10" s="57"/>
    </row>
    <row r="11" spans="1:16" ht="16.2" x14ac:dyDescent="0.3">
      <c r="A11" s="66" t="s">
        <v>100</v>
      </c>
      <c r="B11" s="67" t="s">
        <v>61</v>
      </c>
      <c r="C11" s="67" t="s">
        <v>18</v>
      </c>
      <c r="D11" s="67" t="s">
        <v>19</v>
      </c>
      <c r="E11" s="67" t="s">
        <v>20</v>
      </c>
      <c r="F11" s="67" t="s">
        <v>21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</row>
    <row r="12" spans="1:16" ht="15.6" x14ac:dyDescent="0.3">
      <c r="A12" s="66" t="s">
        <v>108</v>
      </c>
      <c r="B12" s="60">
        <v>0.41423472566816999</v>
      </c>
      <c r="C12" s="60">
        <v>0.29877034201477598</v>
      </c>
      <c r="D12" s="60">
        <v>0.15597733682984399</v>
      </c>
      <c r="E12" s="60">
        <v>7.9089454557420003E-2</v>
      </c>
      <c r="F12" s="60">
        <v>5.1928140929789701E-2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</row>
    <row r="13" spans="1:16" ht="15.6" x14ac:dyDescent="0.3">
      <c r="A13" s="66"/>
      <c r="B13" s="62">
        <v>2</v>
      </c>
      <c r="C13" s="62">
        <v>2</v>
      </c>
      <c r="D13" s="62">
        <v>2</v>
      </c>
      <c r="E13" s="66"/>
      <c r="F13" s="66"/>
      <c r="G13" s="57"/>
      <c r="H13" s="57"/>
      <c r="I13" s="57"/>
      <c r="J13" s="57"/>
      <c r="K13" s="57"/>
      <c r="L13" s="57"/>
      <c r="M13" s="57"/>
      <c r="N13" s="57"/>
      <c r="O13" s="57"/>
      <c r="P13" s="57"/>
    </row>
    <row r="14" spans="1:16" ht="16.2" x14ac:dyDescent="0.35">
      <c r="A14" s="68" t="s">
        <v>63</v>
      </c>
      <c r="B14" s="62">
        <v>30</v>
      </c>
      <c r="C14" s="62">
        <v>30</v>
      </c>
      <c r="D14" s="62">
        <v>30</v>
      </c>
      <c r="E14" s="69">
        <v>71.764705882352942</v>
      </c>
      <c r="F14" s="69">
        <v>75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</row>
    <row r="15" spans="1:16" ht="16.2" x14ac:dyDescent="0.35">
      <c r="A15" s="68" t="s">
        <v>102</v>
      </c>
      <c r="B15" s="62">
        <v>58</v>
      </c>
      <c r="C15" s="62">
        <v>58</v>
      </c>
      <c r="D15" s="62">
        <v>58</v>
      </c>
      <c r="E15" s="69">
        <v>71.071428571428569</v>
      </c>
      <c r="F15" s="69">
        <v>75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</row>
    <row r="16" spans="1:16" ht="16.2" x14ac:dyDescent="0.35">
      <c r="A16" s="68" t="s">
        <v>103</v>
      </c>
      <c r="B16" s="62">
        <v>86</v>
      </c>
      <c r="C16" s="62">
        <v>75.555555555555557</v>
      </c>
      <c r="D16" s="62">
        <v>75.555555555555557</v>
      </c>
      <c r="E16" s="69">
        <v>78.75</v>
      </c>
      <c r="F16" s="69">
        <v>74.375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</row>
    <row r="17" spans="1:16" ht="16.2" x14ac:dyDescent="0.35">
      <c r="A17" s="68" t="s">
        <v>67</v>
      </c>
      <c r="B17" s="69">
        <v>75.5555555555556</v>
      </c>
      <c r="C17" s="69">
        <v>75.555555555555557</v>
      </c>
      <c r="D17" s="69">
        <v>75.555555555555557</v>
      </c>
      <c r="E17" s="69">
        <v>75.555555555555557</v>
      </c>
      <c r="F17" s="69">
        <v>75.555555555555557</v>
      </c>
      <c r="G17" s="57"/>
      <c r="H17" s="57"/>
      <c r="I17" s="57"/>
      <c r="J17" s="57"/>
      <c r="K17" s="57"/>
      <c r="L17" s="57"/>
      <c r="M17" s="57"/>
      <c r="N17" s="57"/>
      <c r="O17" s="57"/>
      <c r="P17" s="57"/>
    </row>
    <row r="18" spans="1:16" ht="16.2" x14ac:dyDescent="0.35">
      <c r="A18" s="68"/>
      <c r="B18" s="69"/>
      <c r="C18" s="69"/>
      <c r="D18" s="69"/>
      <c r="E18" s="69"/>
      <c r="F18" s="69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spans="1:16" ht="15.6" x14ac:dyDescent="0.3">
      <c r="A19" s="70" t="s">
        <v>113</v>
      </c>
      <c r="B19" s="71">
        <f>SUM(B14:B$17)</f>
        <v>249.5555555555556</v>
      </c>
      <c r="C19" s="71">
        <f>SUM(C14:C$17)</f>
        <v>239.11111111111109</v>
      </c>
      <c r="D19" s="71">
        <f>SUM(D14:D$17)</f>
        <v>239.11111111111109</v>
      </c>
      <c r="E19" s="71">
        <f>SUM(E14:E$17)</f>
        <v>297.14169000933708</v>
      </c>
      <c r="F19" s="71">
        <f>SUM(F14:F$17)</f>
        <v>299.93055555555554</v>
      </c>
      <c r="G19" s="57"/>
      <c r="H19" s="57"/>
      <c r="I19" s="57"/>
      <c r="J19" s="57"/>
      <c r="K19" s="57"/>
      <c r="L19" s="57"/>
      <c r="M19" s="57"/>
      <c r="N19" s="57"/>
      <c r="O19" s="57"/>
      <c r="P19" s="57"/>
    </row>
    <row r="20" spans="1:16" ht="15.6" x14ac:dyDescent="0.3">
      <c r="A20" s="61"/>
      <c r="B20" s="61"/>
      <c r="C20" s="61"/>
      <c r="D20" s="61"/>
      <c r="E20" s="61"/>
      <c r="F20" s="61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 ht="15.6" x14ac:dyDescent="0.3">
      <c r="A21" s="61"/>
      <c r="B21" s="61"/>
      <c r="C21" s="61"/>
      <c r="D21" s="61"/>
      <c r="E21" s="61"/>
      <c r="F21" s="61"/>
      <c r="G21" s="57"/>
      <c r="H21" s="57"/>
      <c r="I21" s="57"/>
      <c r="J21" s="57"/>
      <c r="K21" s="57"/>
      <c r="L21" s="57"/>
      <c r="M21" s="57"/>
      <c r="N21" s="57"/>
      <c r="O21" s="57"/>
      <c r="P21" s="57"/>
    </row>
    <row r="22" spans="1:16" ht="15.6" x14ac:dyDescent="0.3">
      <c r="A22" s="57"/>
      <c r="B22" s="64" t="s">
        <v>111</v>
      </c>
      <c r="C22" s="64"/>
      <c r="D22" s="64"/>
      <c r="E22" s="64"/>
      <c r="F22" s="64"/>
      <c r="G22" s="57"/>
      <c r="H22" s="57"/>
      <c r="I22" s="57"/>
      <c r="J22" s="57"/>
      <c r="K22" s="57"/>
      <c r="L22" s="57"/>
      <c r="M22" s="57"/>
      <c r="N22" s="57"/>
      <c r="O22" s="57"/>
      <c r="P22" s="57"/>
    </row>
    <row r="23" spans="1:16" ht="15.6" x14ac:dyDescent="0.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15.6" x14ac:dyDescent="0.3">
      <c r="A24" s="65" t="s">
        <v>114</v>
      </c>
      <c r="B24" s="65"/>
      <c r="C24" s="65"/>
      <c r="D24" s="65"/>
      <c r="E24" s="65"/>
      <c r="F24" s="65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16" ht="16.2" x14ac:dyDescent="0.3">
      <c r="A25" s="66" t="s">
        <v>100</v>
      </c>
      <c r="B25" s="67" t="s">
        <v>61</v>
      </c>
      <c r="C25" s="67" t="s">
        <v>18</v>
      </c>
      <c r="D25" s="67" t="s">
        <v>19</v>
      </c>
      <c r="E25" s="67" t="s">
        <v>20</v>
      </c>
      <c r="F25" s="67" t="s">
        <v>21</v>
      </c>
      <c r="G25" s="57"/>
      <c r="H25" s="57"/>
      <c r="I25" s="57"/>
      <c r="J25" s="57"/>
      <c r="K25" s="57"/>
      <c r="L25" s="57"/>
      <c r="M25" s="57"/>
      <c r="N25" s="57"/>
      <c r="O25" s="57"/>
      <c r="P25" s="57"/>
    </row>
    <row r="26" spans="1:16" ht="15.6" x14ac:dyDescent="0.3">
      <c r="A26" s="66" t="s">
        <v>108</v>
      </c>
      <c r="B26" s="69">
        <v>0.36699999999999999</v>
      </c>
      <c r="C26" s="69">
        <v>0.311</v>
      </c>
      <c r="D26" s="69">
        <v>0.20300000000000001</v>
      </c>
      <c r="E26" s="69">
        <v>0.111</v>
      </c>
      <c r="F26" s="69">
        <v>8.9999999999999993E-3</v>
      </c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ht="15.6" x14ac:dyDescent="0.3">
      <c r="A27" s="66"/>
      <c r="B27" s="66"/>
      <c r="C27" s="66"/>
      <c r="D27" s="66"/>
      <c r="E27" s="66"/>
      <c r="F27" s="66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ht="16.2" x14ac:dyDescent="0.35">
      <c r="A28" s="68" t="s">
        <v>63</v>
      </c>
      <c r="B28" s="69">
        <f>23</f>
        <v>23</v>
      </c>
      <c r="C28" s="69">
        <f>23</f>
        <v>23</v>
      </c>
      <c r="D28" s="69">
        <f>23</f>
        <v>23</v>
      </c>
      <c r="E28" s="69">
        <f>23</f>
        <v>23</v>
      </c>
      <c r="F28" s="69">
        <f>F14/SQRT(SUMSQ(F$14:F$17))</f>
        <v>0.50010800609355377</v>
      </c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16" ht="16.2" x14ac:dyDescent="0.35">
      <c r="A29" s="68" t="s">
        <v>102</v>
      </c>
      <c r="B29" s="69">
        <f>0.44</f>
        <v>0.44</v>
      </c>
      <c r="C29" s="69">
        <f t="shared" ref="C29:E29" si="0">0.44</f>
        <v>0.44</v>
      </c>
      <c r="D29" s="69">
        <f t="shared" si="0"/>
        <v>0.44</v>
      </c>
      <c r="E29" s="69">
        <f t="shared" si="0"/>
        <v>0.44</v>
      </c>
      <c r="F29" s="69">
        <f>F15/SQRT(SUMSQ(F$14:F$17))</f>
        <v>0.50010800609355377</v>
      </c>
      <c r="G29" s="57"/>
      <c r="H29" s="57"/>
      <c r="I29" s="57"/>
      <c r="J29" s="57"/>
      <c r="K29" s="57"/>
      <c r="L29" s="57"/>
      <c r="M29" s="57"/>
      <c r="N29" s="57"/>
      <c r="O29" s="57"/>
      <c r="P29" s="57"/>
    </row>
    <row r="30" spans="1:16" ht="16.2" x14ac:dyDescent="0.35">
      <c r="A30" s="68" t="s">
        <v>103</v>
      </c>
      <c r="B30" s="69">
        <f>0.2</f>
        <v>0.2</v>
      </c>
      <c r="C30" s="69">
        <f t="shared" ref="C30:E30" si="1">0.2</f>
        <v>0.2</v>
      </c>
      <c r="D30" s="69">
        <f t="shared" si="1"/>
        <v>0.2</v>
      </c>
      <c r="E30" s="69">
        <f t="shared" si="1"/>
        <v>0.2</v>
      </c>
      <c r="F30" s="69">
        <f>F16/SQRT(SUMSQ(F$14:F$17))</f>
        <v>0.49594043937610749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</row>
    <row r="31" spans="1:16" ht="16.2" x14ac:dyDescent="0.35">
      <c r="A31" s="68" t="s">
        <v>67</v>
      </c>
      <c r="B31" s="69">
        <f>2</f>
        <v>2</v>
      </c>
      <c r="C31" s="69">
        <f>2</f>
        <v>2</v>
      </c>
      <c r="D31" s="69">
        <f>2</f>
        <v>2</v>
      </c>
      <c r="E31" s="69">
        <f>2</f>
        <v>2</v>
      </c>
      <c r="F31" s="69">
        <f>F17/SQRT(SUMSQ(F$14:F$17))</f>
        <v>0.5038125098423949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</row>
    <row r="32" spans="1:16" ht="16.2" x14ac:dyDescent="0.35">
      <c r="A32" s="68"/>
      <c r="B32" s="69"/>
      <c r="C32" s="69"/>
      <c r="D32" s="69"/>
      <c r="E32" s="69"/>
      <c r="F32" s="69"/>
      <c r="G32" s="57"/>
      <c r="H32" s="57"/>
      <c r="I32" s="57"/>
      <c r="J32" s="57"/>
      <c r="K32" s="57"/>
      <c r="L32" s="57"/>
      <c r="M32" s="57"/>
      <c r="N32" s="57"/>
      <c r="O32" s="57"/>
      <c r="P32" s="57"/>
    </row>
    <row r="33" spans="1:16" ht="15.6" x14ac:dyDescent="0.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</row>
    <row r="34" spans="1:16" ht="15.6" x14ac:dyDescent="0.3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</row>
    <row r="35" spans="1:16" ht="15.6" x14ac:dyDescent="0.3">
      <c r="A35" s="57"/>
      <c r="B35" s="64" t="s">
        <v>111</v>
      </c>
      <c r="C35" s="64"/>
      <c r="D35" s="64"/>
      <c r="E35" s="64"/>
      <c r="F35" s="64"/>
      <c r="G35" s="57"/>
      <c r="H35" s="57"/>
      <c r="I35" s="57"/>
      <c r="J35" s="57"/>
      <c r="K35" s="57"/>
      <c r="L35" s="57"/>
      <c r="M35" s="57"/>
      <c r="N35" s="57"/>
      <c r="O35" s="57"/>
      <c r="P35" s="57"/>
    </row>
    <row r="36" spans="1:16" ht="15.6" x14ac:dyDescent="0.3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1:16" ht="15.6" x14ac:dyDescent="0.3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</row>
    <row r="38" spans="1:16" ht="15.6" x14ac:dyDescent="0.3">
      <c r="A38" s="65" t="s">
        <v>115</v>
      </c>
      <c r="B38" s="65"/>
      <c r="C38" s="65"/>
      <c r="D38" s="65"/>
      <c r="E38" s="65"/>
      <c r="F38" s="65"/>
      <c r="G38" s="57"/>
      <c r="H38" s="57"/>
      <c r="I38" s="57"/>
      <c r="J38" s="57"/>
      <c r="K38" s="57"/>
      <c r="L38" s="57"/>
      <c r="M38" s="57"/>
      <c r="N38" s="57"/>
      <c r="O38" s="57"/>
      <c r="P38" s="57"/>
    </row>
    <row r="39" spans="1:16" ht="16.2" x14ac:dyDescent="0.3">
      <c r="A39" s="66" t="s">
        <v>100</v>
      </c>
      <c r="B39" s="67" t="s">
        <v>61</v>
      </c>
      <c r="C39" s="67" t="s">
        <v>18</v>
      </c>
      <c r="D39" s="67" t="s">
        <v>19</v>
      </c>
      <c r="E39" s="67" t="s">
        <v>20</v>
      </c>
      <c r="F39" s="67" t="s">
        <v>21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</row>
    <row r="40" spans="1:16" ht="15.6" x14ac:dyDescent="0.3">
      <c r="A40" s="66" t="s">
        <v>108</v>
      </c>
      <c r="B40" s="69">
        <v>0.36699999999999999</v>
      </c>
      <c r="C40" s="69">
        <v>0.311</v>
      </c>
      <c r="D40" s="69">
        <v>0.20300000000000001</v>
      </c>
      <c r="E40" s="69">
        <v>0.111</v>
      </c>
      <c r="F40" s="69">
        <v>8.9999999999999993E-3</v>
      </c>
      <c r="G40" s="72"/>
      <c r="H40" s="57"/>
      <c r="I40" s="57"/>
      <c r="J40" s="57"/>
      <c r="K40" s="57"/>
      <c r="L40" s="57"/>
      <c r="M40" s="57"/>
      <c r="N40" s="57"/>
      <c r="O40" s="57"/>
      <c r="P40" s="57"/>
    </row>
    <row r="41" spans="1:16" ht="15.6" x14ac:dyDescent="0.3">
      <c r="A41" s="66"/>
      <c r="B41" s="66"/>
      <c r="C41" s="66"/>
      <c r="D41" s="66"/>
      <c r="E41" s="66"/>
      <c r="F41" s="66"/>
      <c r="G41" s="72"/>
      <c r="H41" s="57"/>
      <c r="I41" s="57"/>
      <c r="J41" s="57"/>
      <c r="K41" s="57"/>
      <c r="L41" s="57"/>
      <c r="M41" s="57"/>
      <c r="N41" s="57"/>
      <c r="O41" s="57"/>
      <c r="P41" s="57"/>
    </row>
    <row r="42" spans="1:16" ht="16.2" x14ac:dyDescent="0.35">
      <c r="A42" s="68" t="s">
        <v>63</v>
      </c>
      <c r="B42" s="69">
        <v>8</v>
      </c>
      <c r="C42" s="69">
        <v>8</v>
      </c>
      <c r="D42" s="69">
        <v>8</v>
      </c>
      <c r="E42" s="69">
        <v>8</v>
      </c>
      <c r="F42" s="69">
        <v>8</v>
      </c>
      <c r="G42" s="57"/>
      <c r="H42" s="57"/>
      <c r="I42" s="57"/>
      <c r="J42" s="57"/>
      <c r="K42" s="57"/>
      <c r="L42" s="57"/>
      <c r="M42" s="57"/>
      <c r="N42" s="57"/>
      <c r="O42" s="57"/>
      <c r="P42" s="57"/>
    </row>
    <row r="43" spans="1:16" ht="16.2" x14ac:dyDescent="0.35">
      <c r="A43" s="68" t="s">
        <v>102</v>
      </c>
      <c r="B43" s="69">
        <v>8</v>
      </c>
      <c r="C43" s="69">
        <v>8</v>
      </c>
      <c r="D43" s="69">
        <v>8</v>
      </c>
      <c r="E43" s="69">
        <v>8</v>
      </c>
      <c r="F43" s="69">
        <v>8</v>
      </c>
      <c r="G43" s="57"/>
      <c r="H43" s="57"/>
      <c r="I43" s="57"/>
      <c r="J43" s="57"/>
      <c r="K43" s="57"/>
      <c r="L43" s="57"/>
      <c r="M43" s="57"/>
      <c r="N43" s="57"/>
      <c r="O43" s="57"/>
      <c r="P43" s="57"/>
    </row>
    <row r="44" spans="1:16" ht="16.2" x14ac:dyDescent="0.35">
      <c r="A44" s="68" t="s">
        <v>103</v>
      </c>
      <c r="B44" s="69">
        <v>8</v>
      </c>
      <c r="C44" s="69">
        <v>8</v>
      </c>
      <c r="D44" s="69">
        <v>8</v>
      </c>
      <c r="E44" s="69">
        <v>8</v>
      </c>
      <c r="F44" s="69">
        <v>8</v>
      </c>
      <c r="G44" s="57"/>
      <c r="H44" s="57"/>
      <c r="I44" s="57"/>
      <c r="J44" s="57"/>
      <c r="K44" s="57"/>
      <c r="L44" s="57"/>
      <c r="M44" s="57"/>
      <c r="N44" s="57"/>
      <c r="O44" s="57"/>
      <c r="P44" s="57"/>
    </row>
    <row r="45" spans="1:16" ht="16.2" x14ac:dyDescent="0.35">
      <c r="A45" s="68" t="s">
        <v>67</v>
      </c>
      <c r="B45" s="69">
        <v>8</v>
      </c>
      <c r="C45" s="69">
        <v>8</v>
      </c>
      <c r="D45" s="69">
        <v>8</v>
      </c>
      <c r="E45" s="69">
        <v>8</v>
      </c>
      <c r="F45" s="69">
        <v>8</v>
      </c>
      <c r="G45" s="57"/>
      <c r="H45" s="57"/>
      <c r="I45" s="57"/>
      <c r="J45" s="57"/>
      <c r="K45" s="57"/>
      <c r="L45" s="57"/>
      <c r="M45" s="57"/>
      <c r="N45" s="57"/>
      <c r="O45" s="57"/>
      <c r="P45" s="57"/>
    </row>
    <row r="46" spans="1:16" ht="16.2" x14ac:dyDescent="0.35">
      <c r="A46" s="68"/>
      <c r="B46" s="69"/>
      <c r="C46" s="69"/>
      <c r="D46" s="69"/>
      <c r="E46" s="69"/>
      <c r="F46" s="69"/>
      <c r="G46" s="57"/>
      <c r="H46" s="57"/>
      <c r="I46" s="57"/>
      <c r="J46" s="57"/>
      <c r="K46" s="57"/>
      <c r="L46" s="57"/>
      <c r="M46" s="57"/>
      <c r="N46" s="57"/>
      <c r="O46" s="57"/>
      <c r="P46" s="57"/>
    </row>
    <row r="47" spans="1:16" ht="15.6" x14ac:dyDescent="0.3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</row>
    <row r="48" spans="1:16" ht="15.6" x14ac:dyDescent="0.3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</row>
    <row r="49" spans="1:16" ht="15.6" x14ac:dyDescent="0.3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</row>
    <row r="50" spans="1:16" ht="15.6" x14ac:dyDescent="0.3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 ht="15.6" x14ac:dyDescent="0.3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</row>
    <row r="52" spans="1:16" ht="15.6" x14ac:dyDescent="0.3">
      <c r="A52" s="65" t="s">
        <v>116</v>
      </c>
      <c r="B52" s="65"/>
      <c r="C52" s="65"/>
      <c r="D52" s="65"/>
      <c r="E52" s="65"/>
      <c r="F52" s="65"/>
      <c r="G52" s="57"/>
      <c r="H52" s="57"/>
      <c r="I52" s="57"/>
      <c r="J52" s="57"/>
      <c r="K52" s="57"/>
      <c r="L52" s="57"/>
      <c r="M52" s="57"/>
      <c r="N52" s="57"/>
      <c r="O52" s="57"/>
      <c r="P52" s="57"/>
    </row>
    <row r="53" spans="1:16" ht="16.2" x14ac:dyDescent="0.3">
      <c r="A53" s="66" t="s">
        <v>100</v>
      </c>
      <c r="B53" s="67" t="s">
        <v>61</v>
      </c>
      <c r="C53" s="67" t="s">
        <v>18</v>
      </c>
      <c r="D53" s="67" t="s">
        <v>19</v>
      </c>
      <c r="E53" s="67" t="s">
        <v>20</v>
      </c>
      <c r="F53" s="67" t="s">
        <v>21</v>
      </c>
      <c r="G53" s="57"/>
      <c r="H53" s="57"/>
      <c r="I53" s="57"/>
      <c r="J53" s="57"/>
      <c r="K53" s="57"/>
      <c r="L53" s="57"/>
      <c r="M53" s="57"/>
      <c r="N53" s="57"/>
      <c r="O53" s="57"/>
      <c r="P53" s="57"/>
    </row>
    <row r="54" spans="1:16" ht="15.6" x14ac:dyDescent="0.3">
      <c r="A54" s="66" t="s">
        <v>108</v>
      </c>
      <c r="B54" s="69">
        <v>0.36699999999999999</v>
      </c>
      <c r="C54" s="69">
        <v>0.311</v>
      </c>
      <c r="D54" s="69">
        <v>0.20300000000000001</v>
      </c>
      <c r="E54" s="69">
        <v>0.111</v>
      </c>
      <c r="F54" s="69">
        <v>8.9999999999999993E-3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</row>
    <row r="55" spans="1:16" ht="15.6" x14ac:dyDescent="0.3">
      <c r="A55" s="66"/>
      <c r="B55" s="66"/>
      <c r="C55" s="66"/>
      <c r="D55" s="66"/>
      <c r="E55" s="66"/>
      <c r="F55" s="66"/>
      <c r="G55" s="57"/>
      <c r="H55" s="57"/>
      <c r="I55" s="57"/>
      <c r="J55" s="57"/>
      <c r="K55" s="57"/>
      <c r="L55" s="57"/>
      <c r="M55" s="57"/>
      <c r="N55" s="57"/>
      <c r="O55" s="57"/>
      <c r="P55" s="57"/>
    </row>
    <row r="56" spans="1:16" ht="16.2" x14ac:dyDescent="0.35">
      <c r="A56" s="68" t="s">
        <v>63</v>
      </c>
      <c r="B56" s="69">
        <v>0.22</v>
      </c>
      <c r="C56" s="69">
        <v>0.22</v>
      </c>
      <c r="D56" s="69">
        <v>0.22</v>
      </c>
      <c r="E56" s="69">
        <v>0.22</v>
      </c>
      <c r="F56" s="69">
        <v>0.22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</row>
    <row r="57" spans="1:16" ht="16.2" x14ac:dyDescent="0.35">
      <c r="A57" s="68" t="s">
        <v>102</v>
      </c>
      <c r="B57" s="69">
        <v>0.22</v>
      </c>
      <c r="C57" s="69">
        <v>0.22</v>
      </c>
      <c r="D57" s="69">
        <v>0.22</v>
      </c>
      <c r="E57" s="69">
        <v>0.22</v>
      </c>
      <c r="F57" s="69">
        <v>0.22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</row>
    <row r="58" spans="1:16" ht="16.2" x14ac:dyDescent="0.35">
      <c r="A58" s="68" t="s">
        <v>103</v>
      </c>
      <c r="B58" s="69">
        <v>0.22</v>
      </c>
      <c r="C58" s="69">
        <v>0.22</v>
      </c>
      <c r="D58" s="69">
        <v>0.22</v>
      </c>
      <c r="E58" s="69">
        <v>0.22</v>
      </c>
      <c r="F58" s="69">
        <v>0.22</v>
      </c>
      <c r="G58" s="57"/>
      <c r="H58" s="57"/>
      <c r="I58" s="57"/>
      <c r="J58" s="57"/>
      <c r="K58" s="57"/>
      <c r="L58" s="57"/>
      <c r="M58" s="57"/>
      <c r="N58" s="57"/>
      <c r="O58" s="57"/>
      <c r="P58" s="57"/>
    </row>
    <row r="59" spans="1:16" ht="16.2" x14ac:dyDescent="0.35">
      <c r="A59" s="68" t="s">
        <v>67</v>
      </c>
      <c r="B59" s="69">
        <v>0.22</v>
      </c>
      <c r="C59" s="69">
        <v>0.22</v>
      </c>
      <c r="D59" s="69">
        <v>0.22</v>
      </c>
      <c r="E59" s="69">
        <v>0.22</v>
      </c>
      <c r="F59" s="69">
        <v>0.22</v>
      </c>
      <c r="G59" s="57"/>
      <c r="H59" s="57"/>
      <c r="I59" s="57"/>
      <c r="J59" s="57"/>
      <c r="K59" s="57"/>
      <c r="L59" s="57"/>
      <c r="M59" s="57"/>
      <c r="N59" s="57"/>
      <c r="O59" s="57"/>
      <c r="P59" s="57"/>
    </row>
    <row r="60" spans="1:16" ht="16.2" x14ac:dyDescent="0.35">
      <c r="A60" s="68"/>
      <c r="B60" s="69"/>
      <c r="C60" s="69"/>
      <c r="D60" s="69"/>
      <c r="E60" s="69"/>
      <c r="F60" s="69"/>
      <c r="G60" s="57"/>
      <c r="H60" s="57"/>
      <c r="I60" s="57"/>
      <c r="J60" s="57"/>
      <c r="K60" s="57"/>
      <c r="L60" s="57"/>
      <c r="M60" s="57"/>
      <c r="N60" s="57"/>
      <c r="O60" s="57"/>
      <c r="P60" s="57"/>
    </row>
    <row r="61" spans="1:16" ht="15.6" x14ac:dyDescent="0.3">
      <c r="A61" s="73" t="s">
        <v>117</v>
      </c>
      <c r="B61" s="74">
        <f>22</f>
        <v>22</v>
      </c>
      <c r="C61" s="74">
        <f>22</f>
        <v>22</v>
      </c>
      <c r="D61" s="74">
        <f>22</f>
        <v>22</v>
      </c>
      <c r="E61" s="74">
        <f>22</f>
        <v>22</v>
      </c>
      <c r="F61" s="74">
        <f>22</f>
        <v>22</v>
      </c>
      <c r="G61" s="57"/>
      <c r="H61" s="57"/>
      <c r="I61" s="57"/>
      <c r="J61" s="57"/>
      <c r="K61" s="57"/>
      <c r="L61" s="57"/>
      <c r="M61" s="57"/>
      <c r="N61" s="57"/>
      <c r="O61" s="57"/>
      <c r="P61" s="57"/>
    </row>
    <row r="62" spans="1:16" ht="15.6" x14ac:dyDescent="0.3">
      <c r="A62" s="73" t="s">
        <v>118</v>
      </c>
      <c r="B62" s="74">
        <f>22</f>
        <v>22</v>
      </c>
      <c r="C62" s="74">
        <f>22</f>
        <v>22</v>
      </c>
      <c r="D62" s="74">
        <f>22</f>
        <v>22</v>
      </c>
      <c r="E62" s="74">
        <f>22</f>
        <v>22</v>
      </c>
      <c r="F62" s="74">
        <f>22</f>
        <v>22</v>
      </c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spans="1:16" ht="15.6" x14ac:dyDescent="0.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</row>
    <row r="64" spans="1:16" ht="15.6" x14ac:dyDescent="0.3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</row>
    <row r="65" spans="1:16" ht="15.6" x14ac:dyDescent="0.3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</row>
    <row r="66" spans="1:16" ht="15.6" x14ac:dyDescent="0.3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</row>
    <row r="67" spans="1:16" ht="15.6" x14ac:dyDescent="0.3">
      <c r="A67" s="57"/>
      <c r="B67" s="57"/>
      <c r="C67" s="57"/>
      <c r="D67" s="57"/>
      <c r="E67" s="57"/>
      <c r="F67" s="57"/>
      <c r="G67" s="75"/>
      <c r="H67" s="75"/>
      <c r="I67" s="75"/>
      <c r="J67" s="75"/>
      <c r="K67" s="75"/>
      <c r="L67" s="75"/>
      <c r="M67" s="75"/>
      <c r="N67" s="75"/>
      <c r="O67" s="75"/>
      <c r="P67" s="75"/>
    </row>
    <row r="68" spans="1:16" ht="15.6" x14ac:dyDescent="0.3">
      <c r="A68" s="65" t="s">
        <v>116</v>
      </c>
      <c r="B68" s="65"/>
      <c r="C68" s="65"/>
      <c r="D68" s="65"/>
      <c r="E68" s="65"/>
      <c r="F68" s="65"/>
      <c r="G68" s="75"/>
      <c r="H68" s="62"/>
      <c r="I68" s="62"/>
      <c r="J68" s="62"/>
      <c r="K68" s="61"/>
      <c r="L68" s="61"/>
      <c r="M68" s="75"/>
      <c r="N68" s="75"/>
      <c r="O68" s="75"/>
      <c r="P68" s="75"/>
    </row>
    <row r="69" spans="1:16" ht="19.2" x14ac:dyDescent="0.3">
      <c r="A69" s="66" t="s">
        <v>100</v>
      </c>
      <c r="B69" s="67" t="s">
        <v>61</v>
      </c>
      <c r="C69" s="67" t="s">
        <v>18</v>
      </c>
      <c r="D69" s="67" t="s">
        <v>19</v>
      </c>
      <c r="E69" s="67" t="s">
        <v>20</v>
      </c>
      <c r="F69" s="67" t="s">
        <v>21</v>
      </c>
      <c r="G69" s="75"/>
      <c r="H69" s="76" t="s">
        <v>119</v>
      </c>
      <c r="I69" s="76" t="s">
        <v>120</v>
      </c>
      <c r="J69" s="62"/>
      <c r="K69" s="61"/>
      <c r="L69" s="61"/>
      <c r="M69" s="75"/>
      <c r="N69" s="75"/>
      <c r="O69" s="75"/>
      <c r="P69" s="75"/>
    </row>
    <row r="70" spans="1:16" ht="15.6" x14ac:dyDescent="0.3">
      <c r="A70" s="66" t="s">
        <v>108</v>
      </c>
      <c r="B70" s="69">
        <v>0.36699999999999999</v>
      </c>
      <c r="C70" s="69">
        <v>0.311</v>
      </c>
      <c r="D70" s="69">
        <v>0.20300000000000001</v>
      </c>
      <c r="E70" s="69">
        <v>0.111</v>
      </c>
      <c r="F70" s="69">
        <v>8.9999999999999993E-3</v>
      </c>
      <c r="G70" s="75"/>
      <c r="H70" s="69"/>
      <c r="I70" s="69"/>
      <c r="J70" s="62"/>
      <c r="K70" s="61"/>
      <c r="L70" s="61"/>
      <c r="M70" s="75"/>
      <c r="N70" s="75"/>
      <c r="O70" s="75"/>
      <c r="P70" s="75"/>
    </row>
    <row r="71" spans="1:16" ht="15.6" x14ac:dyDescent="0.3">
      <c r="A71" s="66"/>
      <c r="B71" s="66"/>
      <c r="C71" s="66"/>
      <c r="D71" s="66"/>
      <c r="E71" s="66"/>
      <c r="F71" s="66"/>
      <c r="G71" s="75"/>
      <c r="H71" s="69"/>
      <c r="I71" s="69"/>
      <c r="J71" s="62"/>
      <c r="K71" s="61"/>
      <c r="L71" s="61"/>
      <c r="M71" s="75"/>
      <c r="N71" s="75"/>
      <c r="O71" s="75"/>
      <c r="P71" s="75"/>
    </row>
    <row r="72" spans="1:16" ht="16.2" x14ac:dyDescent="0.35">
      <c r="A72" s="68" t="s">
        <v>63</v>
      </c>
      <c r="B72" s="69">
        <v>0.21710253564340912</v>
      </c>
      <c r="C72" s="69">
        <v>0.11198841905264131</v>
      </c>
      <c r="D72" s="69">
        <v>0.12236809224606719</v>
      </c>
      <c r="E72" s="69">
        <v>5.3570356382933837E-2</v>
      </c>
      <c r="F72" s="77">
        <v>4.5009720548419832E-3</v>
      </c>
      <c r="G72" s="75"/>
      <c r="H72" s="69">
        <v>48</v>
      </c>
      <c r="I72" s="69">
        <v>48</v>
      </c>
      <c r="J72" s="62"/>
      <c r="K72" s="61"/>
      <c r="L72" s="61"/>
      <c r="M72" s="75"/>
      <c r="N72" s="75"/>
      <c r="O72" s="75"/>
      <c r="P72" s="75"/>
    </row>
    <row r="73" spans="1:16" ht="16.2" x14ac:dyDescent="0.35">
      <c r="A73" s="68" t="s">
        <v>102</v>
      </c>
      <c r="B73" s="69">
        <v>0.18295707149760029</v>
      </c>
      <c r="C73" s="69">
        <v>0.19141498800030268</v>
      </c>
      <c r="D73" s="69">
        <v>9.4426438002783192E-2</v>
      </c>
      <c r="E73" s="69">
        <v>5.3052844157923051E-2</v>
      </c>
      <c r="F73" s="77">
        <v>4.5009720548419832E-3</v>
      </c>
      <c r="G73" s="75"/>
      <c r="H73" s="69">
        <v>48</v>
      </c>
      <c r="I73" s="69">
        <v>48</v>
      </c>
      <c r="J73" s="62"/>
      <c r="K73" s="61"/>
      <c r="L73" s="61"/>
      <c r="M73" s="75"/>
      <c r="N73" s="75"/>
      <c r="O73" s="75"/>
      <c r="P73" s="75"/>
    </row>
    <row r="74" spans="1:16" ht="16.2" x14ac:dyDescent="0.35">
      <c r="A74" s="68" t="s">
        <v>103</v>
      </c>
      <c r="B74" s="69">
        <v>0.15208306568238025</v>
      </c>
      <c r="C74" s="69">
        <v>0.15196798033807812</v>
      </c>
      <c r="D74" s="69">
        <v>8.3881353555771879E-2</v>
      </c>
      <c r="E74" s="69">
        <v>5.8784684104633333E-2</v>
      </c>
      <c r="F74" s="77">
        <v>4.4634639543849669E-3</v>
      </c>
      <c r="G74" s="75"/>
      <c r="H74" s="69">
        <v>48</v>
      </c>
      <c r="I74" s="69">
        <v>48</v>
      </c>
      <c r="J74" s="62"/>
      <c r="K74" s="61"/>
      <c r="L74" s="61"/>
      <c r="M74" s="75"/>
      <c r="N74" s="75"/>
      <c r="O74" s="75"/>
      <c r="P74" s="75"/>
    </row>
    <row r="75" spans="1:16" ht="16.2" x14ac:dyDescent="0.35">
      <c r="A75" s="68" t="s">
        <v>67</v>
      </c>
      <c r="B75" s="69">
        <v>0.17593447683405614</v>
      </c>
      <c r="C75" s="69">
        <v>0.15635098118943641</v>
      </c>
      <c r="D75" s="69">
        <v>0.10140323629853311</v>
      </c>
      <c r="E75" s="69">
        <v>5.6400120199154385E-2</v>
      </c>
      <c r="F75" s="77">
        <v>4.5343125885815537E-3</v>
      </c>
      <c r="G75" s="75"/>
      <c r="H75" s="69">
        <v>48</v>
      </c>
      <c r="I75" s="69">
        <v>48</v>
      </c>
      <c r="J75" s="62"/>
      <c r="K75" s="61"/>
      <c r="L75" s="61"/>
      <c r="M75" s="75"/>
      <c r="N75" s="75"/>
      <c r="O75" s="75"/>
      <c r="P75" s="75"/>
    </row>
    <row r="76" spans="1:16" ht="16.2" x14ac:dyDescent="0.35">
      <c r="A76" s="68"/>
      <c r="B76" s="69"/>
      <c r="C76" s="69"/>
      <c r="D76" s="69"/>
      <c r="E76" s="69"/>
      <c r="F76" s="69"/>
      <c r="G76" s="75"/>
      <c r="H76" s="69"/>
      <c r="I76" s="69"/>
      <c r="J76" s="62"/>
      <c r="K76" s="61"/>
      <c r="L76" s="61"/>
      <c r="M76" s="75"/>
      <c r="N76" s="75"/>
      <c r="O76" s="75"/>
      <c r="P76" s="75"/>
    </row>
    <row r="77" spans="1:16" ht="17.399999999999999" x14ac:dyDescent="0.3">
      <c r="A77" s="78" t="s">
        <v>121</v>
      </c>
      <c r="B77" s="79">
        <f>22</f>
        <v>22</v>
      </c>
      <c r="C77" s="79">
        <f>MAX(C$59:C72)</f>
        <v>22</v>
      </c>
      <c r="D77" s="79">
        <f>MAX(D$59:D72)</f>
        <v>22</v>
      </c>
      <c r="E77" s="79">
        <f>MAX(E$59:E72)</f>
        <v>22</v>
      </c>
      <c r="F77" s="80">
        <f>MAX(F$59:F72)</f>
        <v>22</v>
      </c>
      <c r="G77" s="75"/>
      <c r="H77" s="62"/>
      <c r="I77" s="62"/>
      <c r="J77" s="62"/>
      <c r="K77" s="61"/>
      <c r="L77" s="61"/>
      <c r="M77" s="75"/>
      <c r="N77" s="75"/>
      <c r="O77" s="75"/>
      <c r="P77" s="75"/>
    </row>
    <row r="78" spans="1:16" ht="17.399999999999999" x14ac:dyDescent="0.3">
      <c r="A78" s="78" t="s">
        <v>122</v>
      </c>
      <c r="B78" s="79">
        <v>20</v>
      </c>
      <c r="C78" s="79">
        <v>20</v>
      </c>
      <c r="D78" s="79">
        <v>20</v>
      </c>
      <c r="E78" s="79">
        <v>20</v>
      </c>
      <c r="F78" s="79">
        <v>20</v>
      </c>
      <c r="G78" s="75"/>
      <c r="H78" s="62"/>
      <c r="I78" s="62"/>
      <c r="J78" s="62"/>
      <c r="K78" s="61"/>
      <c r="L78" s="61"/>
      <c r="M78" s="75"/>
      <c r="N78" s="75"/>
      <c r="O78" s="75"/>
      <c r="P78" s="75"/>
    </row>
    <row r="79" spans="1:16" ht="15.6" x14ac:dyDescent="0.3">
      <c r="A79" s="57"/>
      <c r="B79" s="57"/>
      <c r="C79" s="57"/>
      <c r="D79" s="57"/>
      <c r="E79" s="57"/>
      <c r="F79" s="57"/>
      <c r="G79" s="75"/>
      <c r="H79" s="62"/>
      <c r="I79" s="62"/>
      <c r="J79" s="62"/>
      <c r="K79" s="61"/>
      <c r="L79" s="61"/>
      <c r="M79" s="75"/>
      <c r="N79" s="75"/>
      <c r="O79" s="75"/>
      <c r="P79" s="75"/>
    </row>
    <row r="80" spans="1:16" ht="15.6" x14ac:dyDescent="0.3">
      <c r="A80" s="57"/>
      <c r="B80" s="57"/>
      <c r="C80" s="57"/>
      <c r="D80" s="57"/>
      <c r="E80" s="57"/>
      <c r="F80" s="57"/>
      <c r="G80" s="75"/>
      <c r="H80" s="62"/>
      <c r="I80" s="62"/>
      <c r="J80" s="62"/>
      <c r="K80" s="61"/>
      <c r="L80" s="61"/>
      <c r="M80" s="75"/>
      <c r="N80" s="75"/>
      <c r="O80" s="75"/>
      <c r="P80" s="75"/>
    </row>
    <row r="81" spans="1:16" ht="15.6" x14ac:dyDescent="0.3">
      <c r="A81" s="57"/>
      <c r="B81" s="57"/>
      <c r="C81" s="57"/>
      <c r="D81" s="57"/>
      <c r="E81" s="57"/>
      <c r="F81" s="57"/>
      <c r="G81" s="75"/>
      <c r="H81" s="75"/>
      <c r="I81" s="75"/>
      <c r="J81" s="75"/>
      <c r="K81" s="75"/>
      <c r="L81" s="75"/>
      <c r="M81" s="75"/>
      <c r="N81" s="75"/>
      <c r="O81" s="75"/>
      <c r="P81" s="75"/>
    </row>
    <row r="82" spans="1:16" ht="15.6" x14ac:dyDescent="0.3">
      <c r="A82" s="57"/>
      <c r="B82" s="57"/>
      <c r="C82" s="57"/>
      <c r="D82" s="57"/>
      <c r="E82" s="57"/>
      <c r="F82" s="57"/>
      <c r="G82" s="75"/>
      <c r="H82" s="75"/>
      <c r="I82" s="75"/>
      <c r="J82" s="75"/>
      <c r="K82" s="75"/>
      <c r="L82" s="75"/>
      <c r="M82" s="75"/>
      <c r="N82" s="75"/>
      <c r="O82" s="75"/>
      <c r="P82" s="75"/>
    </row>
    <row r="83" spans="1:16" ht="15.6" x14ac:dyDescent="0.3">
      <c r="A83" s="57"/>
      <c r="B83" s="57"/>
      <c r="C83" s="57"/>
      <c r="D83" s="57"/>
      <c r="E83" s="57"/>
      <c r="F83" s="57"/>
      <c r="G83" s="75"/>
      <c r="H83" s="75"/>
      <c r="I83" s="75"/>
      <c r="J83" s="75"/>
      <c r="K83" s="75"/>
      <c r="L83" s="75"/>
      <c r="M83" s="75"/>
      <c r="N83" s="75"/>
      <c r="O83" s="75"/>
      <c r="P83" s="75"/>
    </row>
    <row r="84" spans="1:16" ht="15.6" x14ac:dyDescent="0.3">
      <c r="A84" s="57"/>
      <c r="B84" s="57"/>
      <c r="C84" s="57"/>
      <c r="D84" s="57"/>
      <c r="E84" s="57"/>
      <c r="F84" s="57"/>
      <c r="G84" s="75"/>
      <c r="H84" s="75"/>
      <c r="I84" s="75"/>
      <c r="J84" s="75"/>
      <c r="K84" s="75"/>
      <c r="L84" s="75"/>
      <c r="M84" s="75"/>
      <c r="N84" s="75"/>
      <c r="O84" s="75"/>
      <c r="P84" s="75"/>
    </row>
    <row r="85" spans="1:16" ht="15.6" x14ac:dyDescent="0.3">
      <c r="A85" s="65" t="s">
        <v>123</v>
      </c>
      <c r="B85" s="65"/>
      <c r="C85" s="65"/>
      <c r="D85" s="65"/>
      <c r="E85" s="65"/>
      <c r="F85" s="65"/>
      <c r="G85" s="75"/>
      <c r="H85" s="62"/>
      <c r="I85" s="62"/>
      <c r="J85" s="61"/>
      <c r="K85" s="61"/>
      <c r="L85" s="61"/>
      <c r="M85" s="75"/>
      <c r="N85" s="75"/>
      <c r="O85" s="75"/>
      <c r="P85" s="75"/>
    </row>
    <row r="86" spans="1:16" ht="19.2" x14ac:dyDescent="0.3">
      <c r="A86" s="66" t="s">
        <v>100</v>
      </c>
      <c r="B86" s="67" t="s">
        <v>61</v>
      </c>
      <c r="C86" s="67" t="s">
        <v>18</v>
      </c>
      <c r="D86" s="67" t="s">
        <v>19</v>
      </c>
      <c r="E86" s="67" t="s">
        <v>20</v>
      </c>
      <c r="F86" s="67" t="s">
        <v>21</v>
      </c>
      <c r="G86" s="75"/>
      <c r="H86" s="76" t="s">
        <v>119</v>
      </c>
      <c r="I86" s="76" t="s">
        <v>120</v>
      </c>
      <c r="J86" s="61"/>
      <c r="K86" s="76" t="s">
        <v>124</v>
      </c>
      <c r="L86" s="76" t="s">
        <v>125</v>
      </c>
      <c r="M86" s="75"/>
      <c r="N86" s="75"/>
      <c r="O86" s="75"/>
      <c r="P86" s="75"/>
    </row>
    <row r="87" spans="1:16" ht="15.6" x14ac:dyDescent="0.3">
      <c r="A87" s="66" t="s">
        <v>108</v>
      </c>
      <c r="B87" s="69">
        <v>0.36699999999999999</v>
      </c>
      <c r="C87" s="69">
        <v>0.311</v>
      </c>
      <c r="D87" s="69">
        <v>0.20300000000000001</v>
      </c>
      <c r="E87" s="69">
        <v>0.111</v>
      </c>
      <c r="F87" s="69">
        <v>8.9999999999999993E-3</v>
      </c>
      <c r="G87" s="75"/>
      <c r="H87" s="69"/>
      <c r="I87" s="69"/>
      <c r="J87" s="61"/>
      <c r="K87" s="69"/>
      <c r="L87" s="69"/>
      <c r="M87" s="75"/>
      <c r="N87" s="75"/>
      <c r="O87" s="75"/>
      <c r="P87" s="75"/>
    </row>
    <row r="88" spans="1:16" ht="15.6" x14ac:dyDescent="0.3">
      <c r="A88" s="66"/>
      <c r="B88" s="66"/>
      <c r="C88" s="66"/>
      <c r="D88" s="66"/>
      <c r="E88" s="66"/>
      <c r="F88" s="66"/>
      <c r="G88" s="75"/>
      <c r="H88" s="69"/>
      <c r="I88" s="69"/>
      <c r="J88" s="61"/>
      <c r="K88" s="69"/>
      <c r="L88" s="69"/>
      <c r="M88" s="75"/>
      <c r="N88" s="75"/>
      <c r="O88" s="75"/>
      <c r="P88" s="75"/>
    </row>
    <row r="89" spans="1:16" ht="16.2" x14ac:dyDescent="0.35">
      <c r="A89" s="68" t="s">
        <v>63</v>
      </c>
      <c r="B89" s="69">
        <v>0.21710253564340912</v>
      </c>
      <c r="C89" s="69">
        <v>0.11198841905264131</v>
      </c>
      <c r="D89" s="69">
        <v>0.12236809224606719</v>
      </c>
      <c r="E89" s="69">
        <v>5.3570356382933837E-2</v>
      </c>
      <c r="F89" s="77">
        <v>4.5009720548419832E-3</v>
      </c>
      <c r="G89" s="75"/>
      <c r="H89" s="81">
        <f>SQRT(SUMXMY2(B89:F89, B$77:F$77))</f>
        <v>48.9658881507535</v>
      </c>
      <c r="I89" s="81">
        <f>SQRT(SUMXMY2(B89:F89, B$78:F$78))</f>
        <v>44.493778485240171</v>
      </c>
      <c r="J89" s="61"/>
      <c r="K89" s="69">
        <v>48</v>
      </c>
      <c r="L89" s="81">
        <v>1</v>
      </c>
      <c r="M89" s="75"/>
      <c r="N89" s="75"/>
      <c r="O89" s="75"/>
      <c r="P89" s="75"/>
    </row>
    <row r="90" spans="1:16" ht="16.2" x14ac:dyDescent="0.35">
      <c r="A90" s="68" t="s">
        <v>102</v>
      </c>
      <c r="B90" s="69">
        <v>0.18295707149760029</v>
      </c>
      <c r="C90" s="69">
        <v>0.19141498800030268</v>
      </c>
      <c r="D90" s="69">
        <v>9.4426438002783192E-2</v>
      </c>
      <c r="E90" s="69">
        <v>5.3052844157923051E-2</v>
      </c>
      <c r="F90" s="77">
        <v>4.5009720548419832E-3</v>
      </c>
      <c r="G90" s="75"/>
      <c r="H90" s="81">
        <f>SQRT(SUMXMY2(B90:F90, B$77:F$77))</f>
        <v>48.958373772006219</v>
      </c>
      <c r="I90" s="81">
        <f t="shared" ref="I90" si="2">SQRT(SUMXMY2(B90:F90, B$78:F$78))</f>
        <v>44.486264977567181</v>
      </c>
      <c r="J90" s="61"/>
      <c r="K90" s="69">
        <v>48</v>
      </c>
      <c r="L90" s="81">
        <v>2</v>
      </c>
      <c r="M90" s="75"/>
      <c r="N90" s="75"/>
      <c r="O90" s="75"/>
      <c r="P90" s="75"/>
    </row>
    <row r="91" spans="1:16" ht="16.2" x14ac:dyDescent="0.35">
      <c r="A91" s="68" t="s">
        <v>103</v>
      </c>
      <c r="B91" s="69">
        <v>0.15208306568238025</v>
      </c>
      <c r="C91" s="69">
        <v>0.15196798033807812</v>
      </c>
      <c r="D91" s="69">
        <v>8.3881353555771879E-2</v>
      </c>
      <c r="E91" s="69">
        <v>5.8784684104633333E-2</v>
      </c>
      <c r="F91" s="77">
        <v>4.4634639543849669E-3</v>
      </c>
      <c r="G91" s="75"/>
      <c r="H91" s="81">
        <f>SQRT(SUMXMY2(B91:F91, B$77:F$77))</f>
        <v>48.991884951214466</v>
      </c>
      <c r="I91" s="81">
        <f>SQRT(SUMXMY2(B91:F91, B$78:F$78))</f>
        <v>44.519765422378136</v>
      </c>
      <c r="J91" s="61"/>
      <c r="K91" s="69">
        <v>48</v>
      </c>
      <c r="L91" s="81">
        <v>3</v>
      </c>
      <c r="M91" s="75"/>
      <c r="N91" s="75"/>
      <c r="O91" s="75"/>
      <c r="P91" s="75"/>
    </row>
    <row r="92" spans="1:16" ht="16.2" x14ac:dyDescent="0.35">
      <c r="A92" s="68" t="s">
        <v>67</v>
      </c>
      <c r="B92" s="69">
        <v>0.17593447683405614</v>
      </c>
      <c r="C92" s="69">
        <v>0.15635098118943641</v>
      </c>
      <c r="D92" s="69">
        <v>0.10140323629853311</v>
      </c>
      <c r="E92" s="69">
        <v>5.6400120199154385E-2</v>
      </c>
      <c r="F92" s="77">
        <v>4.5343125885815537E-3</v>
      </c>
      <c r="G92" s="75"/>
      <c r="H92" s="81">
        <f>SQRT(SUMXMY2(B92:F92, B$77:F$77))</f>
        <v>48.972497027683907</v>
      </c>
      <c r="I92" s="81">
        <f>SQRT(SUMXMY2(B92:F92, B$78:F$78))</f>
        <v>44.5003815448244</v>
      </c>
      <c r="J92" s="61"/>
      <c r="K92" s="69">
        <v>48</v>
      </c>
      <c r="L92" s="81">
        <v>4</v>
      </c>
      <c r="M92" s="75"/>
      <c r="N92" s="75"/>
      <c r="O92" s="75"/>
      <c r="P92" s="75"/>
    </row>
    <row r="93" spans="1:16" ht="16.2" x14ac:dyDescent="0.35">
      <c r="A93" s="68"/>
      <c r="B93" s="69"/>
      <c r="C93" s="69"/>
      <c r="D93" s="69"/>
      <c r="E93" s="69"/>
      <c r="F93" s="69"/>
      <c r="G93" s="75"/>
      <c r="H93" s="69"/>
      <c r="I93" s="69"/>
      <c r="J93" s="61"/>
      <c r="K93" s="69"/>
      <c r="L93" s="69"/>
      <c r="M93" s="75"/>
      <c r="N93" s="75"/>
      <c r="O93" s="75"/>
      <c r="P93" s="75"/>
    </row>
    <row r="94" spans="1:16" ht="17.399999999999999" x14ac:dyDescent="0.3">
      <c r="A94" s="78" t="s">
        <v>121</v>
      </c>
      <c r="B94" s="79">
        <v>22</v>
      </c>
      <c r="C94" s="79">
        <v>22</v>
      </c>
      <c r="D94" s="79">
        <v>22</v>
      </c>
      <c r="E94" s="79">
        <v>22</v>
      </c>
      <c r="F94" s="79">
        <v>22</v>
      </c>
      <c r="G94" s="75"/>
      <c r="H94" s="62"/>
      <c r="I94" s="62"/>
      <c r="J94" s="61"/>
      <c r="K94" s="62"/>
      <c r="L94" s="62"/>
      <c r="M94" s="75"/>
      <c r="N94" s="75"/>
      <c r="O94" s="75"/>
      <c r="P94" s="75"/>
    </row>
    <row r="95" spans="1:16" ht="17.399999999999999" x14ac:dyDescent="0.3">
      <c r="A95" s="78" t="s">
        <v>122</v>
      </c>
      <c r="B95" s="79">
        <v>20</v>
      </c>
      <c r="C95" s="79">
        <v>20</v>
      </c>
      <c r="D95" s="79">
        <v>20</v>
      </c>
      <c r="E95" s="79">
        <v>20</v>
      </c>
      <c r="F95" s="79">
        <v>20</v>
      </c>
      <c r="G95" s="75"/>
      <c r="H95" s="62"/>
      <c r="I95" s="62"/>
      <c r="J95" s="61"/>
      <c r="K95" s="61"/>
      <c r="L95" s="61"/>
      <c r="M95" s="75"/>
      <c r="N95" s="75"/>
      <c r="O95" s="75"/>
      <c r="P95" s="75"/>
    </row>
    <row r="96" spans="1:16" ht="15.6" x14ac:dyDescent="0.3">
      <c r="A96" s="57"/>
      <c r="B96" s="57"/>
      <c r="C96" s="57"/>
      <c r="D96" s="57"/>
      <c r="E96" s="57"/>
      <c r="F96" s="57"/>
      <c r="G96" s="75"/>
      <c r="H96" s="62"/>
      <c r="I96" s="62"/>
      <c r="J96" s="61"/>
      <c r="K96" s="61"/>
      <c r="L96" s="61"/>
      <c r="M96" s="75"/>
      <c r="N96" s="75"/>
      <c r="O96" s="75"/>
      <c r="P96" s="75"/>
    </row>
    <row r="97" spans="2:16" x14ac:dyDescent="0.3">
      <c r="B97" s="82" t="s">
        <v>126</v>
      </c>
      <c r="C97" s="82"/>
      <c r="D97" s="82"/>
      <c r="G97" s="83"/>
      <c r="H97" s="37"/>
      <c r="I97" s="37"/>
      <c r="J97" s="37"/>
      <c r="K97" s="37"/>
      <c r="L97" s="37"/>
      <c r="M97" s="83"/>
      <c r="N97" s="83"/>
      <c r="O97" s="83"/>
      <c r="P97" s="83"/>
    </row>
    <row r="98" spans="2:16" x14ac:dyDescent="0.3">
      <c r="B98" s="84" t="s">
        <v>127</v>
      </c>
      <c r="C98" s="84"/>
      <c r="D98" s="84"/>
      <c r="H98" s="37"/>
      <c r="I98" s="37"/>
      <c r="J98" s="37"/>
      <c r="K98" s="37"/>
      <c r="L98" s="37"/>
    </row>
    <row r="99" spans="2:16" x14ac:dyDescent="0.3">
      <c r="B99" s="84"/>
      <c r="C99" s="84"/>
      <c r="D99" s="84"/>
    </row>
    <row r="100" spans="2:16" x14ac:dyDescent="0.3">
      <c r="B100" s="84"/>
      <c r="C100" s="84"/>
      <c r="D100" s="84"/>
    </row>
    <row r="101" spans="2:16" x14ac:dyDescent="0.3">
      <c r="B101" s="84"/>
      <c r="C101" s="84"/>
      <c r="D101" s="84"/>
    </row>
    <row r="102" spans="2:16" x14ac:dyDescent="0.3">
      <c r="B102" s="84"/>
      <c r="C102" s="84"/>
      <c r="D102" s="84"/>
    </row>
    <row r="103" spans="2:16" x14ac:dyDescent="0.3">
      <c r="B103" s="84"/>
      <c r="C103" s="84"/>
      <c r="D103" s="84"/>
    </row>
  </sheetData>
  <mergeCells count="12">
    <mergeCell ref="A38:F38"/>
    <mergeCell ref="A52:F52"/>
    <mergeCell ref="A68:F68"/>
    <mergeCell ref="A85:F85"/>
    <mergeCell ref="B97:D97"/>
    <mergeCell ref="B98:D103"/>
    <mergeCell ref="A1:B1"/>
    <mergeCell ref="B9:F9"/>
    <mergeCell ref="A10:F10"/>
    <mergeCell ref="B22:F22"/>
    <mergeCell ref="A24:F24"/>
    <mergeCell ref="B35:F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C18" sqref="C18"/>
    </sheetView>
  </sheetViews>
  <sheetFormatPr defaultRowHeight="14.4" x14ac:dyDescent="0.3"/>
  <cols>
    <col min="1" max="1" width="20.6640625" customWidth="1"/>
    <col min="2" max="2" width="23.44140625" customWidth="1"/>
    <col min="3" max="3" width="40.88671875" customWidth="1"/>
    <col min="4" max="4" width="35.44140625" customWidth="1"/>
    <col min="5" max="5" width="27.44140625" customWidth="1"/>
  </cols>
  <sheetData>
    <row r="1" spans="1:8" ht="16.2" x14ac:dyDescent="0.35">
      <c r="A1" s="55" t="s">
        <v>105</v>
      </c>
      <c r="B1" s="55"/>
      <c r="C1" s="56" t="s">
        <v>106</v>
      </c>
      <c r="D1" s="56" t="s">
        <v>107</v>
      </c>
      <c r="E1" s="56" t="s">
        <v>106</v>
      </c>
      <c r="F1" s="56" t="s">
        <v>106</v>
      </c>
      <c r="G1" s="56" t="s">
        <v>106</v>
      </c>
      <c r="H1" s="57"/>
    </row>
    <row r="2" spans="1:8" ht="15.6" x14ac:dyDescent="0.3">
      <c r="A2" s="58"/>
      <c r="B2" s="59" t="s">
        <v>108</v>
      </c>
      <c r="C2" s="60">
        <v>0.41423472566816999</v>
      </c>
      <c r="D2" s="60">
        <v>0.29877034201477598</v>
      </c>
      <c r="E2" s="60">
        <v>0.15597733682984399</v>
      </c>
      <c r="F2" s="60">
        <v>7.9089454557420003E-2</v>
      </c>
      <c r="G2" s="60">
        <v>5.1928140929789701E-2</v>
      </c>
      <c r="H2" s="57"/>
    </row>
    <row r="3" spans="1:8" ht="15.6" x14ac:dyDescent="0.3">
      <c r="A3" s="61"/>
      <c r="B3" s="61"/>
      <c r="C3" s="61" t="s">
        <v>17</v>
      </c>
      <c r="D3" s="61" t="s">
        <v>18</v>
      </c>
      <c r="E3" s="61" t="s">
        <v>19</v>
      </c>
      <c r="F3" s="61" t="s">
        <v>20</v>
      </c>
      <c r="G3" s="61" t="s">
        <v>21</v>
      </c>
      <c r="H3" s="57"/>
    </row>
    <row r="4" spans="1:8" ht="15.6" x14ac:dyDescent="0.3">
      <c r="A4" s="61"/>
      <c r="B4" s="61" t="s">
        <v>109</v>
      </c>
      <c r="C4" s="62">
        <v>2</v>
      </c>
      <c r="D4" s="62">
        <v>2</v>
      </c>
      <c r="E4" s="62">
        <v>2</v>
      </c>
      <c r="F4" s="62">
        <v>71.764705882352942</v>
      </c>
      <c r="G4" s="62">
        <v>75</v>
      </c>
      <c r="H4" s="57"/>
    </row>
    <row r="5" spans="1:8" ht="15.6" x14ac:dyDescent="0.3">
      <c r="A5" s="61"/>
      <c r="B5" s="61" t="s">
        <v>65</v>
      </c>
      <c r="C5" s="62">
        <v>30</v>
      </c>
      <c r="D5" s="62">
        <v>30</v>
      </c>
      <c r="E5" s="62">
        <v>30</v>
      </c>
      <c r="F5" s="62">
        <v>71.071428571428569</v>
      </c>
      <c r="G5" s="62">
        <v>75</v>
      </c>
      <c r="H5" s="57"/>
    </row>
    <row r="6" spans="1:8" ht="15.6" x14ac:dyDescent="0.3">
      <c r="A6" s="61"/>
      <c r="B6" s="61" t="s">
        <v>69</v>
      </c>
      <c r="C6" s="62">
        <v>58</v>
      </c>
      <c r="D6" s="62">
        <v>58</v>
      </c>
      <c r="E6" s="62">
        <v>58</v>
      </c>
      <c r="F6" s="62">
        <v>78.75</v>
      </c>
      <c r="G6" s="62">
        <v>74.375</v>
      </c>
      <c r="H6" s="57"/>
    </row>
    <row r="7" spans="1:8" ht="57.6" x14ac:dyDescent="0.3">
      <c r="A7" s="63" t="s">
        <v>110</v>
      </c>
      <c r="B7" s="61" t="s">
        <v>67</v>
      </c>
      <c r="C7" s="62">
        <v>86</v>
      </c>
      <c r="D7" s="62">
        <v>75.555555555555557</v>
      </c>
      <c r="E7" s="62">
        <v>75.555555555555557</v>
      </c>
      <c r="F7" s="62">
        <v>75.555555555555557</v>
      </c>
      <c r="G7" s="62">
        <v>75.555555555555557</v>
      </c>
      <c r="H7" s="57"/>
    </row>
    <row r="8" spans="1:8" ht="15.6" x14ac:dyDescent="0.3">
      <c r="A8" s="61"/>
      <c r="B8" s="61"/>
      <c r="C8" s="61"/>
      <c r="D8" s="61"/>
      <c r="E8" s="61"/>
      <c r="F8" s="61"/>
      <c r="G8" s="61"/>
      <c r="H8" s="57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1</vt:i4>
      </vt:variant>
    </vt:vector>
  </HeadingPairs>
  <TitlesOfParts>
    <vt:vector size="8" baseType="lpstr">
      <vt:lpstr>katılımcı 1</vt:lpstr>
      <vt:lpstr>katılımcı 2</vt:lpstr>
      <vt:lpstr>katılımcı 3</vt:lpstr>
      <vt:lpstr>...katılımcı25</vt:lpstr>
      <vt:lpstr>katılımcıların ortalama cevabı</vt:lpstr>
      <vt:lpstr>Topsis</vt:lpstr>
      <vt:lpstr>Electre</vt:lpstr>
      <vt:lpstr>yas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Yıldırım</dc:creator>
  <cp:lastModifiedBy>nalipour</cp:lastModifiedBy>
  <dcterms:created xsi:type="dcterms:W3CDTF">2025-05-01T18:29:04Z</dcterms:created>
  <dcterms:modified xsi:type="dcterms:W3CDTF">2026-04-11T20:35:44Z</dcterms:modified>
</cp:coreProperties>
</file>